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sthh/Downloads/"/>
    </mc:Choice>
  </mc:AlternateContent>
  <xr:revisionPtr revIDLastSave="0" documentId="13_ncr:1_{7A3FD8D2-A791-4F41-A069-8524875C634E}" xr6:coauthVersionLast="47" xr6:coauthVersionMax="47" xr10:uidLastSave="{00000000-0000-0000-0000-000000000000}"/>
  <bookViews>
    <workbookView xWindow="14760" yWindow="920" windowWidth="14480" windowHeight="16880" tabRatio="500" activeTab="6" xr2:uid="{00000000-000D-0000-FFFF-FFFF00000000}"/>
  </bookViews>
  <sheets>
    <sheet name="_Index" sheetId="1" r:id="rId1"/>
    <sheet name="M1_Inputs" sheetId="2" r:id="rId2"/>
    <sheet name="M1_Benchmarks" sheetId="3" r:id="rId3"/>
    <sheet name="M1_Scenarios" sheetId="4" r:id="rId4"/>
    <sheet name="M1_Notes" sheetId="5" r:id="rId5"/>
    <sheet name="Inputs" sheetId="6" r:id="rId6"/>
    <sheet name="Configurations" sheetId="7" r:id="rId7"/>
    <sheet name="Capitalization" sheetId="8" r:id="rId8"/>
    <sheet name="SolarBase" sheetId="9" r:id="rId9"/>
    <sheet name="SolarColoc" sheetId="10" r:id="rId10"/>
    <sheet name="WindBase" sheetId="11" r:id="rId11"/>
    <sheet name="WindColoc" sheetId="12" r:id="rId12"/>
    <sheet name="GeoBase" sheetId="13" r:id="rId13"/>
    <sheet name="GeoColoc" sheetId="14" r:id="rId14"/>
    <sheet name="Results" sheetId="15" r:id="rId15"/>
    <sheet name="M3_Inputs" sheetId="16" r:id="rId16"/>
    <sheet name="M3_Coverage" sheetId="17" r:id="rId17"/>
    <sheet name="M3_StructA_B" sheetId="18" r:id="rId18"/>
    <sheet name="M3_StructC" sheetId="19" r:id="rId19"/>
    <sheet name="M3_Results" sheetId="20" r:id="rId20"/>
    <sheet name="M4_LCOE" sheetId="21" r:id="rId21"/>
    <sheet name="M4_Bounds" sheetId="22" r:id="rId22"/>
    <sheet name="M4_Pricing" sheetId="23" r:id="rId23"/>
    <sheet name="M4_Notes" sheetId="24" r:id="rId24"/>
    <sheet name="Fig2_Breakeven" sheetId="25" r:id="rId25"/>
    <sheet name="Fig3_Zone" sheetId="26" r:id="rId26"/>
    <sheet name="Fig4_Alpha" sheetId="27" r:id="rId2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1" i="27" l="1"/>
  <c r="H11" i="27"/>
  <c r="I10" i="27"/>
  <c r="H10" i="27"/>
  <c r="I9" i="27"/>
  <c r="H9" i="27"/>
  <c r="I8" i="27"/>
  <c r="H8" i="27"/>
  <c r="I7" i="27"/>
  <c r="H7" i="27"/>
  <c r="I6" i="27"/>
  <c r="H6" i="27"/>
  <c r="I5" i="27"/>
  <c r="H5" i="27"/>
  <c r="J7" i="26"/>
  <c r="J6" i="26"/>
  <c r="J5" i="26"/>
  <c r="D13" i="23"/>
  <c r="C13" i="23"/>
  <c r="B13" i="23"/>
  <c r="B6" i="22"/>
  <c r="D23" i="21"/>
  <c r="D24" i="21" s="1"/>
  <c r="C23" i="21"/>
  <c r="B23" i="21"/>
  <c r="B24" i="21" s="1"/>
  <c r="D22" i="21"/>
  <c r="C22" i="21"/>
  <c r="B22" i="21"/>
  <c r="D21" i="21"/>
  <c r="C21" i="21"/>
  <c r="B21" i="21"/>
  <c r="D20" i="21"/>
  <c r="C20" i="21"/>
  <c r="B20" i="21"/>
  <c r="D19" i="21"/>
  <c r="C19" i="21"/>
  <c r="D18" i="21"/>
  <c r="C18" i="21"/>
  <c r="B18" i="21"/>
  <c r="D17" i="21"/>
  <c r="C17" i="21"/>
  <c r="B17" i="21"/>
  <c r="B19" i="21" s="1"/>
  <c r="C16" i="21"/>
  <c r="D15" i="21"/>
  <c r="C15" i="21"/>
  <c r="B15" i="21"/>
  <c r="D14" i="21"/>
  <c r="C14" i="21"/>
  <c r="C30" i="21" s="1"/>
  <c r="C31" i="21" s="1"/>
  <c r="B14" i="21"/>
  <c r="D13" i="21"/>
  <c r="C13" i="21"/>
  <c r="B13" i="21"/>
  <c r="B16" i="21" s="1"/>
  <c r="D12" i="21"/>
  <c r="D16" i="21" s="1"/>
  <c r="C12" i="21"/>
  <c r="B12" i="21"/>
  <c r="D11" i="21"/>
  <c r="C11" i="21"/>
  <c r="B11" i="21"/>
  <c r="D10" i="21"/>
  <c r="C10" i="21"/>
  <c r="B10" i="21"/>
  <c r="B5" i="21"/>
  <c r="D30" i="21" s="1"/>
  <c r="D31" i="21" s="1"/>
  <c r="C4" i="20"/>
  <c r="D17" i="19"/>
  <c r="C17" i="19"/>
  <c r="B17" i="19"/>
  <c r="D16" i="19"/>
  <c r="C16" i="19"/>
  <c r="B16" i="19"/>
  <c r="D10" i="19"/>
  <c r="C10" i="19"/>
  <c r="B10" i="19"/>
  <c r="B16" i="18"/>
  <c r="B15" i="18"/>
  <c r="B14" i="18"/>
  <c r="B13" i="18"/>
  <c r="B12" i="18"/>
  <c r="B11" i="18"/>
  <c r="B17" i="18" s="1"/>
  <c r="B10" i="18"/>
  <c r="B4" i="18"/>
  <c r="B3" i="18"/>
  <c r="D4" i="20" s="1"/>
  <c r="D8" i="17"/>
  <c r="C8" i="17"/>
  <c r="D6" i="17"/>
  <c r="C6" i="17"/>
  <c r="B6" i="17"/>
  <c r="D5" i="17"/>
  <c r="D7" i="17" s="1"/>
  <c r="D9" i="17" s="1"/>
  <c r="C5" i="17"/>
  <c r="C7" i="17" s="1"/>
  <c r="C9" i="17" s="1"/>
  <c r="B5" i="17"/>
  <c r="B7" i="17" s="1"/>
  <c r="B9" i="17" s="1"/>
  <c r="B7" i="16"/>
  <c r="B8" i="17" s="1"/>
  <c r="D64" i="15"/>
  <c r="C64" i="15"/>
  <c r="B64" i="15"/>
  <c r="D17" i="15"/>
  <c r="C17" i="15"/>
  <c r="B17" i="15"/>
  <c r="L37" i="14"/>
  <c r="H37" i="14"/>
  <c r="C37" i="14"/>
  <c r="D37" i="14" s="1"/>
  <c r="E37" i="14" s="1"/>
  <c r="B37" i="14"/>
  <c r="H36" i="14"/>
  <c r="L36" i="14" s="1"/>
  <c r="D36" i="14"/>
  <c r="E36" i="14" s="1"/>
  <c r="C36" i="14"/>
  <c r="B36" i="14"/>
  <c r="H35" i="14"/>
  <c r="L35" i="14" s="1"/>
  <c r="F35" i="14"/>
  <c r="E35" i="14"/>
  <c r="D35" i="14"/>
  <c r="C35" i="14"/>
  <c r="B35" i="14"/>
  <c r="H34" i="14"/>
  <c r="L34" i="14" s="1"/>
  <c r="F34" i="14"/>
  <c r="G34" i="14" s="1"/>
  <c r="C34" i="14"/>
  <c r="D34" i="14" s="1"/>
  <c r="E34" i="14" s="1"/>
  <c r="B34" i="14"/>
  <c r="H33" i="14"/>
  <c r="L33" i="14" s="1"/>
  <c r="E33" i="14"/>
  <c r="D33" i="14"/>
  <c r="C33" i="14"/>
  <c r="B33" i="14"/>
  <c r="L32" i="14"/>
  <c r="H32" i="14"/>
  <c r="C32" i="14"/>
  <c r="D32" i="14" s="1"/>
  <c r="E32" i="14" s="1"/>
  <c r="B32" i="14"/>
  <c r="H31" i="14"/>
  <c r="L31" i="14" s="1"/>
  <c r="C31" i="14"/>
  <c r="D31" i="14" s="1"/>
  <c r="E31" i="14" s="1"/>
  <c r="B31" i="14"/>
  <c r="H30" i="14"/>
  <c r="L30" i="14" s="1"/>
  <c r="E30" i="14"/>
  <c r="D30" i="14"/>
  <c r="C30" i="14"/>
  <c r="B30" i="14"/>
  <c r="H29" i="14"/>
  <c r="L29" i="14" s="1"/>
  <c r="C29" i="14"/>
  <c r="D29" i="14" s="1"/>
  <c r="E29" i="14" s="1"/>
  <c r="F29" i="14" s="1"/>
  <c r="B29" i="14"/>
  <c r="H28" i="14"/>
  <c r="L28" i="14" s="1"/>
  <c r="E28" i="14"/>
  <c r="C28" i="14"/>
  <c r="D28" i="14" s="1"/>
  <c r="B28" i="14"/>
  <c r="E27" i="14"/>
  <c r="C27" i="14"/>
  <c r="D27" i="14" s="1"/>
  <c r="B27" i="14"/>
  <c r="E26" i="14"/>
  <c r="C26" i="14"/>
  <c r="D26" i="14" s="1"/>
  <c r="B26" i="14"/>
  <c r="E25" i="14"/>
  <c r="D25" i="14"/>
  <c r="C25" i="14"/>
  <c r="B25" i="14"/>
  <c r="G24" i="14"/>
  <c r="M24" i="14" s="1"/>
  <c r="C24" i="14"/>
  <c r="D24" i="14" s="1"/>
  <c r="E24" i="14" s="1"/>
  <c r="F24" i="14" s="1"/>
  <c r="B24" i="14"/>
  <c r="C23" i="14"/>
  <c r="D23" i="14" s="1"/>
  <c r="E23" i="14" s="1"/>
  <c r="B23" i="14"/>
  <c r="F22" i="14"/>
  <c r="G22" i="14" s="1"/>
  <c r="E22" i="14"/>
  <c r="C22" i="14"/>
  <c r="D22" i="14" s="1"/>
  <c r="B22" i="14"/>
  <c r="E21" i="14"/>
  <c r="C21" i="14"/>
  <c r="D21" i="14" s="1"/>
  <c r="B21" i="14"/>
  <c r="G20" i="14"/>
  <c r="F20" i="14"/>
  <c r="E20" i="14"/>
  <c r="D20" i="14"/>
  <c r="C20" i="14"/>
  <c r="B20" i="14"/>
  <c r="G19" i="14"/>
  <c r="C19" i="14"/>
  <c r="D19" i="14" s="1"/>
  <c r="E19" i="14" s="1"/>
  <c r="F19" i="14" s="1"/>
  <c r="B19" i="14"/>
  <c r="E18" i="14"/>
  <c r="C18" i="14"/>
  <c r="D18" i="14" s="1"/>
  <c r="B18" i="14"/>
  <c r="C17" i="14"/>
  <c r="D17" i="14" s="1"/>
  <c r="E17" i="14" s="1"/>
  <c r="B17" i="14"/>
  <c r="G16" i="14"/>
  <c r="F16" i="14"/>
  <c r="E16" i="14"/>
  <c r="C16" i="14"/>
  <c r="D16" i="14" s="1"/>
  <c r="B16" i="14"/>
  <c r="E15" i="14"/>
  <c r="D15" i="14"/>
  <c r="C15" i="14"/>
  <c r="B15" i="14"/>
  <c r="C14" i="14"/>
  <c r="D14" i="14" s="1"/>
  <c r="E14" i="14" s="1"/>
  <c r="F14" i="14" s="1"/>
  <c r="B14" i="14"/>
  <c r="C13" i="14"/>
  <c r="D13" i="14" s="1"/>
  <c r="E13" i="14" s="1"/>
  <c r="B13" i="14"/>
  <c r="C12" i="14"/>
  <c r="D12" i="14" s="1"/>
  <c r="E12" i="14" s="1"/>
  <c r="B12" i="14"/>
  <c r="C11" i="14"/>
  <c r="D11" i="14" s="1"/>
  <c r="B11" i="14"/>
  <c r="D10" i="14"/>
  <c r="C10" i="14"/>
  <c r="B10" i="14"/>
  <c r="C9" i="14"/>
  <c r="D9" i="14" s="1"/>
  <c r="B9" i="14"/>
  <c r="C8" i="14"/>
  <c r="D8" i="14" s="1"/>
  <c r="B8" i="14"/>
  <c r="M7" i="14"/>
  <c r="L7" i="14"/>
  <c r="K7" i="14"/>
  <c r="J7" i="14"/>
  <c r="H7" i="14"/>
  <c r="G7" i="14"/>
  <c r="I7" i="14" s="1"/>
  <c r="F7" i="14"/>
  <c r="E7" i="14"/>
  <c r="D7" i="14"/>
  <c r="C7" i="14"/>
  <c r="B7" i="14"/>
  <c r="M6" i="14"/>
  <c r="K6" i="14"/>
  <c r="J6" i="14"/>
  <c r="I6" i="14"/>
  <c r="H6" i="14"/>
  <c r="L6" i="14" s="1"/>
  <c r="F6" i="14"/>
  <c r="G6" i="14" s="1"/>
  <c r="E6" i="14"/>
  <c r="D6" i="14"/>
  <c r="C6" i="14"/>
  <c r="B6" i="14"/>
  <c r="J5" i="14"/>
  <c r="I5" i="14"/>
  <c r="H5" i="14"/>
  <c r="L5" i="14" s="1"/>
  <c r="F5" i="14"/>
  <c r="G5" i="14" s="1"/>
  <c r="E5" i="14"/>
  <c r="D5" i="14"/>
  <c r="C5" i="14"/>
  <c r="B5" i="14"/>
  <c r="L37" i="13"/>
  <c r="H37" i="13"/>
  <c r="D37" i="13"/>
  <c r="E37" i="13" s="1"/>
  <c r="C37" i="13"/>
  <c r="B37" i="13"/>
  <c r="L36" i="13"/>
  <c r="H36" i="13"/>
  <c r="D36" i="13"/>
  <c r="E36" i="13" s="1"/>
  <c r="C36" i="13"/>
  <c r="B36" i="13"/>
  <c r="H35" i="13"/>
  <c r="L35" i="13" s="1"/>
  <c r="C35" i="13"/>
  <c r="D35" i="13" s="1"/>
  <c r="E35" i="13" s="1"/>
  <c r="B35" i="13"/>
  <c r="L34" i="13"/>
  <c r="H34" i="13"/>
  <c r="E34" i="13"/>
  <c r="C34" i="13"/>
  <c r="D34" i="13" s="1"/>
  <c r="B34" i="13"/>
  <c r="L33" i="13"/>
  <c r="H33" i="13"/>
  <c r="C33" i="13"/>
  <c r="D33" i="13" s="1"/>
  <c r="E33" i="13" s="1"/>
  <c r="B33" i="13"/>
  <c r="L32" i="13"/>
  <c r="H32" i="13"/>
  <c r="C32" i="13"/>
  <c r="D32" i="13" s="1"/>
  <c r="E32" i="13" s="1"/>
  <c r="B32" i="13"/>
  <c r="L31" i="13"/>
  <c r="H31" i="13"/>
  <c r="E31" i="13"/>
  <c r="D31" i="13"/>
  <c r="C31" i="13"/>
  <c r="B31" i="13"/>
  <c r="H30" i="13"/>
  <c r="L30" i="13" s="1"/>
  <c r="D30" i="13"/>
  <c r="E30" i="13" s="1"/>
  <c r="C30" i="13"/>
  <c r="B30" i="13"/>
  <c r="L29" i="13"/>
  <c r="H29" i="13"/>
  <c r="C29" i="13"/>
  <c r="D29" i="13" s="1"/>
  <c r="E29" i="13" s="1"/>
  <c r="B29" i="13"/>
  <c r="M28" i="13"/>
  <c r="L28" i="13"/>
  <c r="H28" i="13"/>
  <c r="G28" i="13"/>
  <c r="I28" i="13" s="1"/>
  <c r="D28" i="13"/>
  <c r="E28" i="13" s="1"/>
  <c r="F28" i="13" s="1"/>
  <c r="C28" i="13"/>
  <c r="B28" i="13"/>
  <c r="C27" i="13"/>
  <c r="D27" i="13" s="1"/>
  <c r="E27" i="13" s="1"/>
  <c r="B27" i="13"/>
  <c r="C26" i="13"/>
  <c r="D26" i="13" s="1"/>
  <c r="E26" i="13" s="1"/>
  <c r="B26" i="13"/>
  <c r="D25" i="13"/>
  <c r="E25" i="13" s="1"/>
  <c r="C25" i="13"/>
  <c r="B25" i="13"/>
  <c r="F24" i="13"/>
  <c r="E24" i="13"/>
  <c r="C24" i="13"/>
  <c r="D24" i="13" s="1"/>
  <c r="B24" i="13"/>
  <c r="M23" i="13"/>
  <c r="G23" i="13"/>
  <c r="D23" i="13"/>
  <c r="E23" i="13" s="1"/>
  <c r="F23" i="13" s="1"/>
  <c r="C23" i="13"/>
  <c r="B23" i="13"/>
  <c r="E22" i="13"/>
  <c r="D22" i="13"/>
  <c r="C22" i="13"/>
  <c r="B22" i="13"/>
  <c r="C21" i="13"/>
  <c r="D21" i="13" s="1"/>
  <c r="E21" i="13" s="1"/>
  <c r="B21" i="13"/>
  <c r="D20" i="13"/>
  <c r="E20" i="13" s="1"/>
  <c r="C20" i="13"/>
  <c r="B20" i="13"/>
  <c r="C19" i="13"/>
  <c r="D19" i="13" s="1"/>
  <c r="E19" i="13" s="1"/>
  <c r="B19" i="13"/>
  <c r="M18" i="13"/>
  <c r="G18" i="13"/>
  <c r="D18" i="13"/>
  <c r="E18" i="13" s="1"/>
  <c r="F18" i="13" s="1"/>
  <c r="C18" i="13"/>
  <c r="B18" i="13"/>
  <c r="D17" i="13"/>
  <c r="E17" i="13" s="1"/>
  <c r="C17" i="13"/>
  <c r="B17" i="13"/>
  <c r="C16" i="13"/>
  <c r="D16" i="13" s="1"/>
  <c r="E16" i="13" s="1"/>
  <c r="B16" i="13"/>
  <c r="D15" i="13"/>
  <c r="E15" i="13" s="1"/>
  <c r="C15" i="13"/>
  <c r="B15" i="13"/>
  <c r="E14" i="13"/>
  <c r="C14" i="13"/>
  <c r="D14" i="13" s="1"/>
  <c r="B14" i="13"/>
  <c r="M13" i="13"/>
  <c r="G13" i="13"/>
  <c r="D13" i="13"/>
  <c r="E13" i="13" s="1"/>
  <c r="F13" i="13" s="1"/>
  <c r="C13" i="13"/>
  <c r="B13" i="13"/>
  <c r="E12" i="13"/>
  <c r="D12" i="13"/>
  <c r="C12" i="13"/>
  <c r="B12" i="13"/>
  <c r="M11" i="13"/>
  <c r="F11" i="13"/>
  <c r="E11" i="13"/>
  <c r="G11" i="13" s="1"/>
  <c r="D11" i="13"/>
  <c r="C11" i="13"/>
  <c r="B11" i="13"/>
  <c r="M10" i="13"/>
  <c r="G10" i="13"/>
  <c r="F10" i="13"/>
  <c r="E10" i="13"/>
  <c r="C10" i="13"/>
  <c r="D10" i="13" s="1"/>
  <c r="B10" i="13"/>
  <c r="G9" i="13"/>
  <c r="F9" i="13"/>
  <c r="E9" i="13"/>
  <c r="C9" i="13"/>
  <c r="D9" i="13" s="1"/>
  <c r="B9" i="13"/>
  <c r="F8" i="13"/>
  <c r="E8" i="13"/>
  <c r="G8" i="13" s="1"/>
  <c r="C8" i="13"/>
  <c r="D8" i="13" s="1"/>
  <c r="B8" i="13"/>
  <c r="M7" i="13"/>
  <c r="L7" i="13"/>
  <c r="K7" i="13"/>
  <c r="J7" i="13"/>
  <c r="H7" i="13"/>
  <c r="G7" i="13"/>
  <c r="I7" i="13" s="1"/>
  <c r="F7" i="13"/>
  <c r="E7" i="13"/>
  <c r="D7" i="13"/>
  <c r="C7" i="13"/>
  <c r="B7" i="13"/>
  <c r="M6" i="13"/>
  <c r="L6" i="13"/>
  <c r="K6" i="13"/>
  <c r="J6" i="13"/>
  <c r="H6" i="13"/>
  <c r="F6" i="13"/>
  <c r="E6" i="13"/>
  <c r="G6" i="13" s="1"/>
  <c r="I6" i="13" s="1"/>
  <c r="D6" i="13"/>
  <c r="C6" i="13"/>
  <c r="B6" i="13"/>
  <c r="J5" i="13"/>
  <c r="H5" i="13"/>
  <c r="L5" i="13" s="1"/>
  <c r="F5" i="13"/>
  <c r="E5" i="13"/>
  <c r="G5" i="13" s="1"/>
  <c r="I5" i="13" s="1"/>
  <c r="D5" i="13"/>
  <c r="C5" i="13"/>
  <c r="B5" i="13"/>
  <c r="I37" i="12"/>
  <c r="H37" i="12"/>
  <c r="L37" i="12" s="1"/>
  <c r="F37" i="12"/>
  <c r="E37" i="12"/>
  <c r="G37" i="12" s="1"/>
  <c r="M37" i="12" s="1"/>
  <c r="D37" i="12"/>
  <c r="C37" i="12"/>
  <c r="B37" i="12"/>
  <c r="H36" i="12"/>
  <c r="L36" i="12" s="1"/>
  <c r="F36" i="12"/>
  <c r="E36" i="12"/>
  <c r="D36" i="12"/>
  <c r="C36" i="12"/>
  <c r="B36" i="12"/>
  <c r="L35" i="12"/>
  <c r="I35" i="12"/>
  <c r="H35" i="12"/>
  <c r="G35" i="12"/>
  <c r="M35" i="12" s="1"/>
  <c r="F35" i="12"/>
  <c r="E35" i="12"/>
  <c r="D35" i="12"/>
  <c r="C35" i="12"/>
  <c r="B35" i="12"/>
  <c r="H34" i="12"/>
  <c r="L34" i="12" s="1"/>
  <c r="G34" i="12"/>
  <c r="F34" i="12"/>
  <c r="E34" i="12"/>
  <c r="D34" i="12"/>
  <c r="C34" i="12"/>
  <c r="B34" i="12"/>
  <c r="L33" i="12"/>
  <c r="H33" i="12"/>
  <c r="F33" i="12"/>
  <c r="E33" i="12"/>
  <c r="D33" i="12"/>
  <c r="C33" i="12"/>
  <c r="B33" i="12"/>
  <c r="H32" i="12"/>
  <c r="L32" i="12" s="1"/>
  <c r="F32" i="12"/>
  <c r="E32" i="12"/>
  <c r="D32" i="12"/>
  <c r="C32" i="12"/>
  <c r="B32" i="12"/>
  <c r="H31" i="12"/>
  <c r="L31" i="12" s="1"/>
  <c r="G31" i="12"/>
  <c r="F31" i="12"/>
  <c r="D31" i="12"/>
  <c r="E31" i="12" s="1"/>
  <c r="C31" i="12"/>
  <c r="B31" i="12"/>
  <c r="L30" i="12"/>
  <c r="H30" i="12"/>
  <c r="E30" i="12"/>
  <c r="D30" i="12"/>
  <c r="C30" i="12"/>
  <c r="B30" i="12"/>
  <c r="H29" i="12"/>
  <c r="L29" i="12" s="1"/>
  <c r="D29" i="12"/>
  <c r="E29" i="12" s="1"/>
  <c r="C29" i="12"/>
  <c r="B29" i="12"/>
  <c r="H28" i="12"/>
  <c r="L28" i="12" s="1"/>
  <c r="F28" i="12"/>
  <c r="D28" i="12"/>
  <c r="E28" i="12" s="1"/>
  <c r="C28" i="12"/>
  <c r="B28" i="12"/>
  <c r="D27" i="12"/>
  <c r="E27" i="12" s="1"/>
  <c r="C27" i="12"/>
  <c r="B27" i="12"/>
  <c r="C26" i="12"/>
  <c r="D26" i="12" s="1"/>
  <c r="E26" i="12" s="1"/>
  <c r="B26" i="12"/>
  <c r="E25" i="12"/>
  <c r="D25" i="12"/>
  <c r="C25" i="12"/>
  <c r="B25" i="12"/>
  <c r="D24" i="12"/>
  <c r="E24" i="12" s="1"/>
  <c r="C24" i="12"/>
  <c r="B24" i="12"/>
  <c r="C23" i="12"/>
  <c r="D23" i="12" s="1"/>
  <c r="E23" i="12" s="1"/>
  <c r="B23" i="12"/>
  <c r="F22" i="12"/>
  <c r="E22" i="12"/>
  <c r="D22" i="12"/>
  <c r="C22" i="12"/>
  <c r="B22" i="12"/>
  <c r="M21" i="12"/>
  <c r="G21" i="12"/>
  <c r="F21" i="12"/>
  <c r="D21" i="12"/>
  <c r="E21" i="12" s="1"/>
  <c r="C21" i="12"/>
  <c r="B21" i="12"/>
  <c r="E20" i="12"/>
  <c r="D20" i="12"/>
  <c r="C20" i="12"/>
  <c r="B20" i="12"/>
  <c r="G19" i="12"/>
  <c r="F19" i="12"/>
  <c r="D19" i="12"/>
  <c r="E19" i="12" s="1"/>
  <c r="C19" i="12"/>
  <c r="B19" i="12"/>
  <c r="F18" i="12"/>
  <c r="D18" i="12"/>
  <c r="E18" i="12" s="1"/>
  <c r="C18" i="12"/>
  <c r="B18" i="12"/>
  <c r="D17" i="12"/>
  <c r="E17" i="12" s="1"/>
  <c r="C17" i="12"/>
  <c r="B17" i="12"/>
  <c r="G16" i="12"/>
  <c r="F16" i="12"/>
  <c r="D16" i="12"/>
  <c r="E16" i="12" s="1"/>
  <c r="C16" i="12"/>
  <c r="B16" i="12"/>
  <c r="D15" i="12"/>
  <c r="E15" i="12" s="1"/>
  <c r="C15" i="12"/>
  <c r="B15" i="12"/>
  <c r="D14" i="12"/>
  <c r="E14" i="12" s="1"/>
  <c r="C14" i="12"/>
  <c r="B14" i="12"/>
  <c r="C13" i="12"/>
  <c r="D13" i="12" s="1"/>
  <c r="E13" i="12" s="1"/>
  <c r="B13" i="12"/>
  <c r="F12" i="12"/>
  <c r="E12" i="12"/>
  <c r="D12" i="12"/>
  <c r="C12" i="12"/>
  <c r="B12" i="12"/>
  <c r="D11" i="12"/>
  <c r="C11" i="12"/>
  <c r="B11" i="12"/>
  <c r="D10" i="12"/>
  <c r="C10" i="12"/>
  <c r="B10" i="12"/>
  <c r="D9" i="12"/>
  <c r="C9" i="12"/>
  <c r="B9" i="12"/>
  <c r="D8" i="12"/>
  <c r="C8" i="12"/>
  <c r="B8" i="12"/>
  <c r="M7" i="12"/>
  <c r="K7" i="12"/>
  <c r="J7" i="12"/>
  <c r="H7" i="12"/>
  <c r="L7" i="12" s="1"/>
  <c r="F7" i="12"/>
  <c r="G7" i="12" s="1"/>
  <c r="I7" i="12" s="1"/>
  <c r="E7" i="12"/>
  <c r="D7" i="12"/>
  <c r="C7" i="12"/>
  <c r="B7" i="12"/>
  <c r="M6" i="12"/>
  <c r="K6" i="12"/>
  <c r="J6" i="12"/>
  <c r="H6" i="12"/>
  <c r="L6" i="12" s="1"/>
  <c r="G6" i="12"/>
  <c r="F6" i="12"/>
  <c r="E6" i="12"/>
  <c r="D6" i="12"/>
  <c r="C6" i="12"/>
  <c r="B6" i="12"/>
  <c r="L5" i="12"/>
  <c r="J5" i="12"/>
  <c r="H5" i="12"/>
  <c r="F5" i="12"/>
  <c r="E5" i="12"/>
  <c r="D5" i="12"/>
  <c r="C5" i="12"/>
  <c r="B5" i="12"/>
  <c r="L37" i="11"/>
  <c r="H37" i="11"/>
  <c r="F37" i="11"/>
  <c r="E37" i="11"/>
  <c r="G37" i="11" s="1"/>
  <c r="D37" i="11"/>
  <c r="C37" i="11"/>
  <c r="B37" i="11"/>
  <c r="H36" i="11"/>
  <c r="L36" i="11" s="1"/>
  <c r="G36" i="11"/>
  <c r="M36" i="11" s="1"/>
  <c r="F36" i="11"/>
  <c r="E36" i="11"/>
  <c r="D36" i="11"/>
  <c r="C36" i="11"/>
  <c r="B36" i="11"/>
  <c r="H35" i="11"/>
  <c r="L35" i="11" s="1"/>
  <c r="G35" i="11"/>
  <c r="M35" i="11" s="1"/>
  <c r="F35" i="11"/>
  <c r="E35" i="11"/>
  <c r="D35" i="11"/>
  <c r="C35" i="11"/>
  <c r="B35" i="11"/>
  <c r="L34" i="11"/>
  <c r="H34" i="11"/>
  <c r="G34" i="11"/>
  <c r="M34" i="11" s="1"/>
  <c r="F34" i="11"/>
  <c r="E34" i="11"/>
  <c r="D34" i="11"/>
  <c r="C34" i="11"/>
  <c r="B34" i="11"/>
  <c r="M33" i="11"/>
  <c r="H33" i="11"/>
  <c r="L33" i="11" s="1"/>
  <c r="G33" i="11"/>
  <c r="F33" i="11"/>
  <c r="E33" i="11"/>
  <c r="D33" i="11"/>
  <c r="C33" i="11"/>
  <c r="B33" i="11"/>
  <c r="L32" i="11"/>
  <c r="H32" i="11"/>
  <c r="C32" i="11"/>
  <c r="D32" i="11" s="1"/>
  <c r="E32" i="11" s="1"/>
  <c r="B32" i="11"/>
  <c r="L31" i="11"/>
  <c r="H31" i="11"/>
  <c r="E31" i="11"/>
  <c r="C31" i="11"/>
  <c r="D31" i="11" s="1"/>
  <c r="B31" i="11"/>
  <c r="H30" i="11"/>
  <c r="L30" i="11" s="1"/>
  <c r="D30" i="11"/>
  <c r="E30" i="11" s="1"/>
  <c r="C30" i="11"/>
  <c r="B30" i="11"/>
  <c r="L29" i="11"/>
  <c r="H29" i="11"/>
  <c r="C29" i="11"/>
  <c r="D29" i="11" s="1"/>
  <c r="E29" i="11" s="1"/>
  <c r="B29" i="11"/>
  <c r="L28" i="11"/>
  <c r="H28" i="11"/>
  <c r="C28" i="11"/>
  <c r="D28" i="11" s="1"/>
  <c r="E28" i="11" s="1"/>
  <c r="B28" i="11"/>
  <c r="C27" i="11"/>
  <c r="D27" i="11" s="1"/>
  <c r="E27" i="11" s="1"/>
  <c r="B27" i="11"/>
  <c r="C26" i="11"/>
  <c r="D26" i="11" s="1"/>
  <c r="E26" i="11" s="1"/>
  <c r="B26" i="11"/>
  <c r="E25" i="11"/>
  <c r="F25" i="11" s="1"/>
  <c r="D25" i="11"/>
  <c r="C25" i="11"/>
  <c r="B25" i="11"/>
  <c r="C24" i="11"/>
  <c r="D24" i="11" s="1"/>
  <c r="E24" i="11" s="1"/>
  <c r="B24" i="11"/>
  <c r="C23" i="11"/>
  <c r="D23" i="11" s="1"/>
  <c r="E23" i="11" s="1"/>
  <c r="B23" i="11"/>
  <c r="C22" i="11"/>
  <c r="D22" i="11" s="1"/>
  <c r="E22" i="11" s="1"/>
  <c r="B22" i="11"/>
  <c r="C21" i="11"/>
  <c r="D21" i="11" s="1"/>
  <c r="E21" i="11" s="1"/>
  <c r="B21" i="11"/>
  <c r="G20" i="11"/>
  <c r="E20" i="11"/>
  <c r="F20" i="11" s="1"/>
  <c r="D20" i="11"/>
  <c r="C20" i="11"/>
  <c r="B20" i="11"/>
  <c r="C19" i="11"/>
  <c r="D19" i="11" s="1"/>
  <c r="E19" i="11" s="1"/>
  <c r="B19" i="11"/>
  <c r="C18" i="11"/>
  <c r="D18" i="11" s="1"/>
  <c r="E18" i="11" s="1"/>
  <c r="B18" i="11"/>
  <c r="C17" i="11"/>
  <c r="D17" i="11" s="1"/>
  <c r="E17" i="11" s="1"/>
  <c r="B17" i="11"/>
  <c r="C16" i="11"/>
  <c r="D16" i="11" s="1"/>
  <c r="E16" i="11" s="1"/>
  <c r="B16" i="11"/>
  <c r="G15" i="11"/>
  <c r="M15" i="11" s="1"/>
  <c r="E15" i="11"/>
  <c r="F15" i="11" s="1"/>
  <c r="D15" i="11"/>
  <c r="C15" i="11"/>
  <c r="B15" i="11"/>
  <c r="E14" i="11"/>
  <c r="F14" i="11" s="1"/>
  <c r="G14" i="11" s="1"/>
  <c r="C14" i="11"/>
  <c r="D14" i="11" s="1"/>
  <c r="B14" i="11"/>
  <c r="C13" i="11"/>
  <c r="D13" i="11" s="1"/>
  <c r="E13" i="11" s="1"/>
  <c r="B13" i="11"/>
  <c r="C12" i="11"/>
  <c r="D12" i="11" s="1"/>
  <c r="E12" i="11" s="1"/>
  <c r="B12" i="11"/>
  <c r="G11" i="11"/>
  <c r="M11" i="11" s="1"/>
  <c r="F11" i="11"/>
  <c r="E11" i="11"/>
  <c r="D11" i="11"/>
  <c r="C11" i="11"/>
  <c r="B11" i="11"/>
  <c r="F10" i="11"/>
  <c r="G10" i="11" s="1"/>
  <c r="E10" i="11"/>
  <c r="D10" i="11"/>
  <c r="C10" i="11"/>
  <c r="B10" i="11"/>
  <c r="F9" i="11"/>
  <c r="E9" i="11"/>
  <c r="G9" i="11" s="1"/>
  <c r="C9" i="11"/>
  <c r="D9" i="11" s="1"/>
  <c r="B9" i="11"/>
  <c r="G8" i="11"/>
  <c r="F8" i="11"/>
  <c r="E8" i="11"/>
  <c r="C8" i="11"/>
  <c r="D8" i="11" s="1"/>
  <c r="B8" i="11"/>
  <c r="M7" i="11"/>
  <c r="L7" i="11"/>
  <c r="K7" i="11"/>
  <c r="J7" i="11"/>
  <c r="I7" i="11"/>
  <c r="H7" i="11"/>
  <c r="G7" i="11"/>
  <c r="F7" i="11"/>
  <c r="E7" i="11"/>
  <c r="D7" i="11"/>
  <c r="C7" i="11"/>
  <c r="B7" i="11"/>
  <c r="M6" i="11"/>
  <c r="L6" i="11"/>
  <c r="K6" i="11"/>
  <c r="J6" i="11"/>
  <c r="H6" i="11"/>
  <c r="F6" i="11"/>
  <c r="E6" i="11"/>
  <c r="G6" i="11" s="1"/>
  <c r="I6" i="11" s="1"/>
  <c r="D6" i="11"/>
  <c r="C6" i="11"/>
  <c r="B6" i="11"/>
  <c r="J5" i="11"/>
  <c r="H5" i="11"/>
  <c r="L5" i="11" s="1"/>
  <c r="F5" i="11"/>
  <c r="G5" i="11" s="1"/>
  <c r="I5" i="11" s="1"/>
  <c r="E5" i="11"/>
  <c r="D5" i="11"/>
  <c r="C5" i="11"/>
  <c r="B5" i="11"/>
  <c r="H37" i="10"/>
  <c r="L37" i="10" s="1"/>
  <c r="F37" i="10"/>
  <c r="E37" i="10"/>
  <c r="D37" i="10"/>
  <c r="C37" i="10"/>
  <c r="B37" i="10"/>
  <c r="M36" i="10"/>
  <c r="L36" i="10"/>
  <c r="H36" i="10"/>
  <c r="G36" i="10"/>
  <c r="F36" i="10"/>
  <c r="E36" i="10"/>
  <c r="D36" i="10"/>
  <c r="C36" i="10"/>
  <c r="B36" i="10"/>
  <c r="M35" i="10"/>
  <c r="L35" i="10"/>
  <c r="I35" i="10"/>
  <c r="H35" i="10"/>
  <c r="G35" i="10"/>
  <c r="F35" i="10"/>
  <c r="E35" i="10"/>
  <c r="D35" i="10"/>
  <c r="C35" i="10"/>
  <c r="B35" i="10"/>
  <c r="L34" i="10"/>
  <c r="I34" i="10"/>
  <c r="H34" i="10"/>
  <c r="F34" i="10"/>
  <c r="G34" i="10" s="1"/>
  <c r="M34" i="10" s="1"/>
  <c r="E34" i="10"/>
  <c r="D34" i="10"/>
  <c r="C34" i="10"/>
  <c r="B34" i="10"/>
  <c r="M33" i="10"/>
  <c r="L33" i="10"/>
  <c r="H33" i="10"/>
  <c r="F33" i="10"/>
  <c r="G33" i="10" s="1"/>
  <c r="I33" i="10" s="1"/>
  <c r="E33" i="10"/>
  <c r="D33" i="10"/>
  <c r="C33" i="10"/>
  <c r="B33" i="10"/>
  <c r="H32" i="10"/>
  <c r="L32" i="10" s="1"/>
  <c r="F32" i="10"/>
  <c r="E32" i="10"/>
  <c r="D32" i="10"/>
  <c r="C32" i="10"/>
  <c r="B32" i="10"/>
  <c r="H31" i="10"/>
  <c r="L31" i="10" s="1"/>
  <c r="E31" i="10"/>
  <c r="F31" i="10" s="1"/>
  <c r="G31" i="10" s="1"/>
  <c r="D31" i="10"/>
  <c r="C31" i="10"/>
  <c r="B31" i="10"/>
  <c r="H30" i="10"/>
  <c r="L30" i="10" s="1"/>
  <c r="E30" i="10"/>
  <c r="D30" i="10"/>
  <c r="C30" i="10"/>
  <c r="B30" i="10"/>
  <c r="H29" i="10"/>
  <c r="L29" i="10" s="1"/>
  <c r="D29" i="10"/>
  <c r="E29" i="10" s="1"/>
  <c r="C29" i="10"/>
  <c r="B29" i="10"/>
  <c r="L28" i="10"/>
  <c r="H28" i="10"/>
  <c r="F28" i="10"/>
  <c r="C28" i="10"/>
  <c r="D28" i="10" s="1"/>
  <c r="E28" i="10" s="1"/>
  <c r="G28" i="10" s="1"/>
  <c r="B28" i="10"/>
  <c r="D27" i="10"/>
  <c r="E27" i="10" s="1"/>
  <c r="C27" i="10"/>
  <c r="B27" i="10"/>
  <c r="C26" i="10"/>
  <c r="D26" i="10" s="1"/>
  <c r="E26" i="10" s="1"/>
  <c r="B26" i="10"/>
  <c r="C25" i="10"/>
  <c r="D25" i="10" s="1"/>
  <c r="E25" i="10" s="1"/>
  <c r="B25" i="10"/>
  <c r="G24" i="10"/>
  <c r="M24" i="10" s="1"/>
  <c r="E24" i="10"/>
  <c r="F24" i="10" s="1"/>
  <c r="D24" i="10"/>
  <c r="C24" i="10"/>
  <c r="B24" i="10"/>
  <c r="M23" i="10"/>
  <c r="G23" i="10"/>
  <c r="F23" i="10"/>
  <c r="E23" i="10"/>
  <c r="D23" i="10"/>
  <c r="C23" i="10"/>
  <c r="B23" i="10"/>
  <c r="M22" i="10"/>
  <c r="G22" i="10"/>
  <c r="F22" i="10"/>
  <c r="E22" i="10"/>
  <c r="D22" i="10"/>
  <c r="C22" i="10"/>
  <c r="B22" i="10"/>
  <c r="M21" i="10"/>
  <c r="G21" i="10"/>
  <c r="F21" i="10"/>
  <c r="E21" i="10"/>
  <c r="C21" i="10"/>
  <c r="D21" i="10" s="1"/>
  <c r="B21" i="10"/>
  <c r="M20" i="10"/>
  <c r="G20" i="10"/>
  <c r="E20" i="10"/>
  <c r="F20" i="10" s="1"/>
  <c r="C20" i="10"/>
  <c r="D20" i="10" s="1"/>
  <c r="B20" i="10"/>
  <c r="M19" i="10"/>
  <c r="G19" i="10"/>
  <c r="E19" i="10"/>
  <c r="F19" i="10" s="1"/>
  <c r="D19" i="10"/>
  <c r="C19" i="10"/>
  <c r="B19" i="10"/>
  <c r="M18" i="10"/>
  <c r="G18" i="10"/>
  <c r="F18" i="10"/>
  <c r="E18" i="10"/>
  <c r="D18" i="10"/>
  <c r="C18" i="10"/>
  <c r="B18" i="10"/>
  <c r="M17" i="10"/>
  <c r="G17" i="10"/>
  <c r="F17" i="10"/>
  <c r="E17" i="10"/>
  <c r="D17" i="10"/>
  <c r="C17" i="10"/>
  <c r="B17" i="10"/>
  <c r="M16" i="10"/>
  <c r="G16" i="10"/>
  <c r="F16" i="10"/>
  <c r="E16" i="10"/>
  <c r="C16" i="10"/>
  <c r="D16" i="10" s="1"/>
  <c r="B16" i="10"/>
  <c r="E15" i="10"/>
  <c r="F15" i="10" s="1"/>
  <c r="C15" i="10"/>
  <c r="D15" i="10" s="1"/>
  <c r="B15" i="10"/>
  <c r="M14" i="10"/>
  <c r="G14" i="10"/>
  <c r="D14" i="10"/>
  <c r="E14" i="10" s="1"/>
  <c r="F14" i="10" s="1"/>
  <c r="C14" i="10"/>
  <c r="B14" i="10"/>
  <c r="D13" i="10"/>
  <c r="E13" i="10" s="1"/>
  <c r="F13" i="10" s="1"/>
  <c r="C13" i="10"/>
  <c r="B13" i="10"/>
  <c r="F12" i="10"/>
  <c r="D12" i="10"/>
  <c r="E12" i="10" s="1"/>
  <c r="G12" i="10" s="1"/>
  <c r="M12" i="10" s="1"/>
  <c r="C12" i="10"/>
  <c r="B12" i="10"/>
  <c r="C11" i="10"/>
  <c r="D11" i="10" s="1"/>
  <c r="B11" i="10"/>
  <c r="C10" i="10"/>
  <c r="D10" i="10" s="1"/>
  <c r="B10" i="10"/>
  <c r="C9" i="10"/>
  <c r="D9" i="10" s="1"/>
  <c r="B9" i="10"/>
  <c r="C8" i="10"/>
  <c r="D8" i="10" s="1"/>
  <c r="B8" i="10"/>
  <c r="M7" i="10"/>
  <c r="K7" i="10"/>
  <c r="J7" i="10"/>
  <c r="H7" i="10"/>
  <c r="L7" i="10" s="1"/>
  <c r="F7" i="10"/>
  <c r="E7" i="10"/>
  <c r="G7" i="10" s="1"/>
  <c r="I7" i="10" s="1"/>
  <c r="D7" i="10"/>
  <c r="C7" i="10"/>
  <c r="B7" i="10"/>
  <c r="M6" i="10"/>
  <c r="K6" i="10"/>
  <c r="J6" i="10"/>
  <c r="H6" i="10"/>
  <c r="L6" i="10" s="1"/>
  <c r="F6" i="10"/>
  <c r="E6" i="10"/>
  <c r="G6" i="10" s="1"/>
  <c r="I6" i="10" s="1"/>
  <c r="D6" i="10"/>
  <c r="C6" i="10"/>
  <c r="B6" i="10"/>
  <c r="J5" i="10"/>
  <c r="H5" i="10"/>
  <c r="L5" i="10" s="1"/>
  <c r="G5" i="10"/>
  <c r="I5" i="10" s="1"/>
  <c r="F5" i="10"/>
  <c r="E5" i="10"/>
  <c r="D5" i="10"/>
  <c r="C5" i="10"/>
  <c r="B5" i="10"/>
  <c r="L37" i="9"/>
  <c r="H37" i="9"/>
  <c r="G37" i="9"/>
  <c r="F37" i="9"/>
  <c r="E37" i="9"/>
  <c r="D37" i="9"/>
  <c r="C37" i="9"/>
  <c r="B37" i="9"/>
  <c r="H36" i="9"/>
  <c r="L36" i="9" s="1"/>
  <c r="F36" i="9"/>
  <c r="G36" i="9" s="1"/>
  <c r="E36" i="9"/>
  <c r="D36" i="9"/>
  <c r="C36" i="9"/>
  <c r="B36" i="9"/>
  <c r="H35" i="9"/>
  <c r="L35" i="9" s="1"/>
  <c r="G35" i="9"/>
  <c r="M35" i="9" s="1"/>
  <c r="F35" i="9"/>
  <c r="E35" i="9"/>
  <c r="D35" i="9"/>
  <c r="C35" i="9"/>
  <c r="B35" i="9"/>
  <c r="M34" i="9"/>
  <c r="L34" i="9"/>
  <c r="I34" i="9"/>
  <c r="H34" i="9"/>
  <c r="F34" i="9"/>
  <c r="G34" i="9" s="1"/>
  <c r="E34" i="9"/>
  <c r="D34" i="9"/>
  <c r="C34" i="9"/>
  <c r="B34" i="9"/>
  <c r="L33" i="9"/>
  <c r="H33" i="9"/>
  <c r="F33" i="9"/>
  <c r="E33" i="9"/>
  <c r="D33" i="9"/>
  <c r="C33" i="9"/>
  <c r="B33" i="9"/>
  <c r="H32" i="9"/>
  <c r="L32" i="9" s="1"/>
  <c r="C32" i="9"/>
  <c r="D32" i="9" s="1"/>
  <c r="E32" i="9" s="1"/>
  <c r="F32" i="9" s="1"/>
  <c r="B32" i="9"/>
  <c r="H31" i="9"/>
  <c r="L31" i="9" s="1"/>
  <c r="F31" i="9"/>
  <c r="G31" i="9" s="1"/>
  <c r="D31" i="9"/>
  <c r="E31" i="9" s="1"/>
  <c r="C31" i="9"/>
  <c r="B31" i="9"/>
  <c r="H30" i="9"/>
  <c r="L30" i="9" s="1"/>
  <c r="D30" i="9"/>
  <c r="E30" i="9" s="1"/>
  <c r="F30" i="9" s="1"/>
  <c r="G30" i="9" s="1"/>
  <c r="C30" i="9"/>
  <c r="B30" i="9"/>
  <c r="H29" i="9"/>
  <c r="L29" i="9" s="1"/>
  <c r="C29" i="9"/>
  <c r="D29" i="9" s="1"/>
  <c r="E29" i="9" s="1"/>
  <c r="B29" i="9"/>
  <c r="L28" i="9"/>
  <c r="H28" i="9"/>
  <c r="E28" i="9"/>
  <c r="C28" i="9"/>
  <c r="D28" i="9" s="1"/>
  <c r="B28" i="9"/>
  <c r="D27" i="9"/>
  <c r="E27" i="9" s="1"/>
  <c r="C27" i="9"/>
  <c r="B27" i="9"/>
  <c r="D26" i="9"/>
  <c r="E26" i="9" s="1"/>
  <c r="C26" i="9"/>
  <c r="B26" i="9"/>
  <c r="F25" i="9"/>
  <c r="D25" i="9"/>
  <c r="E25" i="9" s="1"/>
  <c r="C25" i="9"/>
  <c r="B25" i="9"/>
  <c r="C24" i="9"/>
  <c r="D24" i="9" s="1"/>
  <c r="E24" i="9" s="1"/>
  <c r="B24" i="9"/>
  <c r="C23" i="9"/>
  <c r="D23" i="9" s="1"/>
  <c r="E23" i="9" s="1"/>
  <c r="B23" i="9"/>
  <c r="C22" i="9"/>
  <c r="D22" i="9" s="1"/>
  <c r="E22" i="9" s="1"/>
  <c r="B22" i="9"/>
  <c r="E21" i="9"/>
  <c r="F21" i="9" s="1"/>
  <c r="D21" i="9"/>
  <c r="C21" i="9"/>
  <c r="B21" i="9"/>
  <c r="F20" i="9"/>
  <c r="G20" i="9" s="1"/>
  <c r="D20" i="9"/>
  <c r="E20" i="9" s="1"/>
  <c r="C20" i="9"/>
  <c r="B20" i="9"/>
  <c r="D19" i="9"/>
  <c r="E19" i="9" s="1"/>
  <c r="C19" i="9"/>
  <c r="B19" i="9"/>
  <c r="C18" i="9"/>
  <c r="D18" i="9" s="1"/>
  <c r="E18" i="9" s="1"/>
  <c r="B18" i="9"/>
  <c r="F17" i="9"/>
  <c r="G17" i="9" s="1"/>
  <c r="D17" i="9"/>
  <c r="E17" i="9" s="1"/>
  <c r="C17" i="9"/>
  <c r="B17" i="9"/>
  <c r="E16" i="9"/>
  <c r="D16" i="9"/>
  <c r="C16" i="9"/>
  <c r="B16" i="9"/>
  <c r="F15" i="9"/>
  <c r="G15" i="9" s="1"/>
  <c r="D15" i="9"/>
  <c r="E15" i="9" s="1"/>
  <c r="C15" i="9"/>
  <c r="B15" i="9"/>
  <c r="C14" i="9"/>
  <c r="D14" i="9" s="1"/>
  <c r="E14" i="9" s="1"/>
  <c r="B14" i="9"/>
  <c r="F13" i="9"/>
  <c r="E13" i="9"/>
  <c r="C13" i="9"/>
  <c r="D13" i="9" s="1"/>
  <c r="B13" i="9"/>
  <c r="C12" i="9"/>
  <c r="D12" i="9" s="1"/>
  <c r="E12" i="9" s="1"/>
  <c r="B12" i="9"/>
  <c r="F11" i="9"/>
  <c r="G11" i="9" s="1"/>
  <c r="E11" i="9"/>
  <c r="D11" i="9"/>
  <c r="C11" i="9"/>
  <c r="B11" i="9"/>
  <c r="F10" i="9"/>
  <c r="G10" i="9" s="1"/>
  <c r="E10" i="9"/>
  <c r="D10" i="9"/>
  <c r="C10" i="9"/>
  <c r="B10" i="9"/>
  <c r="F9" i="9"/>
  <c r="G9" i="9" s="1"/>
  <c r="M9" i="9" s="1"/>
  <c r="E9" i="9"/>
  <c r="C9" i="9"/>
  <c r="D9" i="9" s="1"/>
  <c r="B9" i="9"/>
  <c r="M8" i="9"/>
  <c r="F8" i="9"/>
  <c r="E8" i="9"/>
  <c r="G8" i="9" s="1"/>
  <c r="C8" i="9"/>
  <c r="D8" i="9" s="1"/>
  <c r="B8" i="9"/>
  <c r="M7" i="9"/>
  <c r="K7" i="9"/>
  <c r="J7" i="9"/>
  <c r="H7" i="9"/>
  <c r="L7" i="9" s="1"/>
  <c r="F7" i="9"/>
  <c r="G7" i="9" s="1"/>
  <c r="E7" i="9"/>
  <c r="D7" i="9"/>
  <c r="C7" i="9"/>
  <c r="B7" i="9"/>
  <c r="M6" i="9"/>
  <c r="L6" i="9"/>
  <c r="K6" i="9"/>
  <c r="J6" i="9"/>
  <c r="H6" i="9"/>
  <c r="F6" i="9"/>
  <c r="G6" i="9" s="1"/>
  <c r="I6" i="9" s="1"/>
  <c r="E6" i="9"/>
  <c r="D6" i="9"/>
  <c r="C6" i="9"/>
  <c r="B6" i="9"/>
  <c r="L5" i="9"/>
  <c r="J5" i="9"/>
  <c r="H5" i="9"/>
  <c r="G5" i="9"/>
  <c r="I5" i="9" s="1"/>
  <c r="F5" i="9"/>
  <c r="E5" i="9"/>
  <c r="D5" i="9"/>
  <c r="C5" i="9"/>
  <c r="B5" i="9"/>
  <c r="G16" i="8"/>
  <c r="F16" i="8"/>
  <c r="G15" i="8"/>
  <c r="F15" i="8"/>
  <c r="E15" i="8"/>
  <c r="D15" i="8"/>
  <c r="C15" i="8"/>
  <c r="B15" i="8"/>
  <c r="G14" i="8"/>
  <c r="F14" i="8"/>
  <c r="E14" i="8"/>
  <c r="D14" i="8"/>
  <c r="C14" i="8"/>
  <c r="B14" i="8"/>
  <c r="G13" i="8"/>
  <c r="F13" i="8"/>
  <c r="D25" i="21" s="1"/>
  <c r="E13" i="8"/>
  <c r="E16" i="8" s="1"/>
  <c r="D13" i="8"/>
  <c r="C25" i="21" s="1"/>
  <c r="C13" i="8"/>
  <c r="B13" i="8"/>
  <c r="F9" i="8"/>
  <c r="F10" i="8" s="1"/>
  <c r="F11" i="8" s="1"/>
  <c r="F12" i="8" s="1"/>
  <c r="F7" i="8"/>
  <c r="F6" i="8"/>
  <c r="F8" i="8" s="1"/>
  <c r="D6" i="8"/>
  <c r="D7" i="8" s="1"/>
  <c r="C6" i="8"/>
  <c r="B6" i="8"/>
  <c r="B7" i="8" s="1"/>
  <c r="G5" i="8"/>
  <c r="G6" i="8" s="1"/>
  <c r="F5" i="8"/>
  <c r="E5" i="8"/>
  <c r="E6" i="8" s="1"/>
  <c r="D5" i="8"/>
  <c r="C5" i="8"/>
  <c r="B5" i="8"/>
  <c r="G4" i="8"/>
  <c r="M5" i="14" s="1"/>
  <c r="F4" i="8"/>
  <c r="M5" i="13" s="1"/>
  <c r="E4" i="8"/>
  <c r="D4" i="8"/>
  <c r="C4" i="8"/>
  <c r="B4" i="8"/>
  <c r="M5" i="9" s="1"/>
  <c r="D17" i="7"/>
  <c r="C17" i="7"/>
  <c r="B17" i="7"/>
  <c r="B34" i="4"/>
  <c r="B29" i="4"/>
  <c r="B23" i="4"/>
  <c r="B6" i="4"/>
  <c r="B30" i="3"/>
  <c r="B29" i="3"/>
  <c r="B32" i="3" s="1"/>
  <c r="B28" i="3"/>
  <c r="B27" i="3"/>
  <c r="B20" i="3"/>
  <c r="B21" i="3" s="1"/>
  <c r="B24" i="3" s="1"/>
  <c r="B35" i="4" s="1"/>
  <c r="B19" i="3"/>
  <c r="B14" i="3"/>
  <c r="B12" i="3"/>
  <c r="B11" i="3"/>
  <c r="B13" i="3" s="1"/>
  <c r="B16" i="3" s="1"/>
  <c r="B63" i="2"/>
  <c r="B57" i="2"/>
  <c r="B56" i="2"/>
  <c r="B58" i="2" s="1"/>
  <c r="B5" i="4" s="1"/>
  <c r="D48" i="2"/>
  <c r="D47" i="2"/>
  <c r="D46" i="2"/>
  <c r="D45" i="2"/>
  <c r="D44" i="2"/>
  <c r="D43" i="2"/>
  <c r="D42" i="2"/>
  <c r="D41" i="2"/>
  <c r="D40" i="2"/>
  <c r="D39" i="2"/>
  <c r="D38" i="2"/>
  <c r="D37" i="2"/>
  <c r="D36" i="2"/>
  <c r="D35" i="2"/>
  <c r="D34" i="2"/>
  <c r="D33" i="2"/>
  <c r="D32" i="2"/>
  <c r="D31" i="2"/>
  <c r="D30" i="2"/>
  <c r="D29" i="2"/>
  <c r="D28" i="2"/>
  <c r="D27" i="2"/>
  <c r="D26" i="2"/>
  <c r="D25" i="2"/>
  <c r="B11" i="2"/>
  <c r="B22" i="3" s="1"/>
  <c r="F17" i="8"/>
  <c r="G17" i="8"/>
  <c r="E17" i="8"/>
  <c r="G18" i="8" l="1"/>
  <c r="F18" i="8"/>
  <c r="M11" i="9"/>
  <c r="E11" i="8"/>
  <c r="E12" i="8" s="1"/>
  <c r="F24" i="9"/>
  <c r="G24" i="9"/>
  <c r="F27" i="9"/>
  <c r="G27" i="9" s="1"/>
  <c r="B36" i="3"/>
  <c r="B15" i="4"/>
  <c r="D15" i="4"/>
  <c r="M14" i="11"/>
  <c r="M15" i="9"/>
  <c r="M10" i="9"/>
  <c r="M31" i="9"/>
  <c r="I31" i="9"/>
  <c r="F30" i="11"/>
  <c r="G30" i="11"/>
  <c r="M30" i="9"/>
  <c r="I30" i="9"/>
  <c r="M9" i="11"/>
  <c r="F12" i="9"/>
  <c r="G12" i="9" s="1"/>
  <c r="F26" i="9"/>
  <c r="G26" i="9" s="1"/>
  <c r="I31" i="10"/>
  <c r="M31" i="10"/>
  <c r="M17" i="9"/>
  <c r="H27" i="13"/>
  <c r="H22" i="13"/>
  <c r="H17" i="13"/>
  <c r="H12" i="13"/>
  <c r="H26" i="13"/>
  <c r="H25" i="13"/>
  <c r="H21" i="13"/>
  <c r="H20" i="13"/>
  <c r="H16" i="13"/>
  <c r="H15" i="13"/>
  <c r="H24" i="13"/>
  <c r="H19" i="13"/>
  <c r="H14" i="13"/>
  <c r="H11" i="13"/>
  <c r="L11" i="13" s="1"/>
  <c r="H23" i="13"/>
  <c r="L23" i="13" s="1"/>
  <c r="H18" i="13"/>
  <c r="L18" i="13" s="1"/>
  <c r="H13" i="13"/>
  <c r="L13" i="13" s="1"/>
  <c r="H10" i="13"/>
  <c r="L10" i="13" s="1"/>
  <c r="H8" i="13"/>
  <c r="L8" i="13" s="1"/>
  <c r="H9" i="13"/>
  <c r="L9" i="13" s="1"/>
  <c r="F19" i="11"/>
  <c r="G19" i="11" s="1"/>
  <c r="G16" i="9"/>
  <c r="C11" i="4"/>
  <c r="D16" i="4" s="1"/>
  <c r="C10" i="4"/>
  <c r="C15" i="4" s="1"/>
  <c r="C9" i="4"/>
  <c r="B16" i="4" s="1"/>
  <c r="M36" i="9"/>
  <c r="I36" i="9"/>
  <c r="F26" i="12"/>
  <c r="G26" i="12"/>
  <c r="E8" i="8"/>
  <c r="E9" i="8" s="1"/>
  <c r="E10" i="8" s="1"/>
  <c r="B8" i="8"/>
  <c r="B9" i="8" s="1"/>
  <c r="B10" i="8" s="1"/>
  <c r="B11" i="8" s="1"/>
  <c r="B12" i="8" s="1"/>
  <c r="C16" i="8"/>
  <c r="G22" i="9"/>
  <c r="F22" i="9"/>
  <c r="G30" i="10"/>
  <c r="G24" i="11"/>
  <c r="F24" i="11"/>
  <c r="G32" i="11"/>
  <c r="F32" i="11"/>
  <c r="F36" i="13"/>
  <c r="G36" i="13" s="1"/>
  <c r="F21" i="14"/>
  <c r="G21" i="14" s="1"/>
  <c r="M19" i="14"/>
  <c r="G25" i="10"/>
  <c r="F25" i="10"/>
  <c r="F30" i="10"/>
  <c r="G17" i="11"/>
  <c r="F17" i="11"/>
  <c r="F28" i="11"/>
  <c r="G28" i="11" s="1"/>
  <c r="M9" i="13"/>
  <c r="I9" i="13"/>
  <c r="F13" i="14"/>
  <c r="G13" i="14" s="1"/>
  <c r="F30" i="12"/>
  <c r="G30" i="12" s="1"/>
  <c r="B5" i="19"/>
  <c r="B10" i="17"/>
  <c r="F21" i="11"/>
  <c r="G21" i="11" s="1"/>
  <c r="D5" i="20"/>
  <c r="C5" i="20"/>
  <c r="B5" i="22"/>
  <c r="B5" i="20"/>
  <c r="C5" i="19"/>
  <c r="C10" i="17"/>
  <c r="C8" i="8"/>
  <c r="C9" i="8" s="1"/>
  <c r="C10" i="8" s="1"/>
  <c r="C11" i="8" s="1"/>
  <c r="C7" i="8"/>
  <c r="D17" i="4"/>
  <c r="C17" i="4"/>
  <c r="M5" i="10"/>
  <c r="M10" i="11"/>
  <c r="F20" i="13"/>
  <c r="G20" i="13" s="1"/>
  <c r="F25" i="13"/>
  <c r="G25" i="13" s="1"/>
  <c r="M5" i="11"/>
  <c r="G23" i="9"/>
  <c r="F23" i="9"/>
  <c r="F28" i="9"/>
  <c r="G28" i="9" s="1"/>
  <c r="F14" i="9"/>
  <c r="G14" i="9" s="1"/>
  <c r="M16" i="12"/>
  <c r="G32" i="9"/>
  <c r="F23" i="14"/>
  <c r="G23" i="14" s="1"/>
  <c r="E7" i="8"/>
  <c r="D16" i="8"/>
  <c r="F16" i="9"/>
  <c r="F29" i="9"/>
  <c r="G29" i="9"/>
  <c r="G27" i="10"/>
  <c r="F27" i="10"/>
  <c r="F13" i="11"/>
  <c r="G13" i="11"/>
  <c r="F26" i="11"/>
  <c r="G26" i="11" s="1"/>
  <c r="F27" i="12"/>
  <c r="G27" i="12" s="1"/>
  <c r="G15" i="14"/>
  <c r="F15" i="14"/>
  <c r="F32" i="14"/>
  <c r="G32" i="14" s="1"/>
  <c r="B17" i="4"/>
  <c r="E18" i="8"/>
  <c r="E19" i="8" s="1"/>
  <c r="F12" i="11"/>
  <c r="G12" i="11"/>
  <c r="G17" i="14"/>
  <c r="F17" i="14"/>
  <c r="B38" i="3"/>
  <c r="D11" i="8"/>
  <c r="D12" i="8" s="1"/>
  <c r="I37" i="9"/>
  <c r="M37" i="9"/>
  <c r="F30" i="13"/>
  <c r="G30" i="13" s="1"/>
  <c r="M5" i="12"/>
  <c r="B31" i="4"/>
  <c r="I35" i="9"/>
  <c r="F29" i="10"/>
  <c r="G29" i="10" s="1"/>
  <c r="F22" i="11"/>
  <c r="G22" i="11" s="1"/>
  <c r="G18" i="9"/>
  <c r="F18" i="9"/>
  <c r="I37" i="11"/>
  <c r="M37" i="11"/>
  <c r="B7" i="22"/>
  <c r="B30" i="4"/>
  <c r="B24" i="4"/>
  <c r="B26" i="4" s="1"/>
  <c r="B37" i="3"/>
  <c r="G7" i="8"/>
  <c r="G8" i="8" s="1"/>
  <c r="G9" i="8" s="1"/>
  <c r="G10" i="8" s="1"/>
  <c r="G11" i="8" s="1"/>
  <c r="B25" i="21"/>
  <c r="B16" i="8"/>
  <c r="I7" i="9"/>
  <c r="G13" i="9"/>
  <c r="M20" i="9"/>
  <c r="G25" i="9"/>
  <c r="M28" i="10"/>
  <c r="I28" i="10"/>
  <c r="F16" i="11"/>
  <c r="G16" i="11" s="1"/>
  <c r="F27" i="11"/>
  <c r="G27" i="11" s="1"/>
  <c r="F15" i="13"/>
  <c r="G15" i="13" s="1"/>
  <c r="F27" i="13"/>
  <c r="G27" i="13" s="1"/>
  <c r="G21" i="9"/>
  <c r="G13" i="10"/>
  <c r="F18" i="11"/>
  <c r="G18" i="11"/>
  <c r="I31" i="12"/>
  <c r="M31" i="12"/>
  <c r="F12" i="13"/>
  <c r="G12" i="13" s="1"/>
  <c r="G14" i="13"/>
  <c r="F33" i="13"/>
  <c r="G33" i="13"/>
  <c r="M20" i="11"/>
  <c r="F23" i="11"/>
  <c r="G23" i="11"/>
  <c r="G25" i="11"/>
  <c r="F14" i="13"/>
  <c r="F12" i="14"/>
  <c r="G12" i="14" s="1"/>
  <c r="G17" i="12"/>
  <c r="F17" i="12"/>
  <c r="F16" i="13"/>
  <c r="G16" i="13" s="1"/>
  <c r="F32" i="13"/>
  <c r="G32" i="13" s="1"/>
  <c r="G30" i="14"/>
  <c r="M34" i="14"/>
  <c r="I34" i="14"/>
  <c r="G36" i="14"/>
  <c r="F36" i="14"/>
  <c r="D8" i="8"/>
  <c r="D9" i="8" s="1"/>
  <c r="D10" i="8" s="1"/>
  <c r="G29" i="11"/>
  <c r="F29" i="11"/>
  <c r="I33" i="11"/>
  <c r="I6" i="12"/>
  <c r="G15" i="12"/>
  <c r="F15" i="12"/>
  <c r="F19" i="13"/>
  <c r="G19" i="13" s="1"/>
  <c r="F30" i="14"/>
  <c r="F19" i="8"/>
  <c r="K5" i="13" s="1"/>
  <c r="F19" i="9"/>
  <c r="G19" i="9"/>
  <c r="M8" i="11"/>
  <c r="G31" i="11"/>
  <c r="I34" i="11"/>
  <c r="I36" i="11"/>
  <c r="G13" i="12"/>
  <c r="F13" i="12"/>
  <c r="G18" i="12"/>
  <c r="M22" i="14"/>
  <c r="G28" i="14"/>
  <c r="F28" i="14"/>
  <c r="G33" i="9"/>
  <c r="F26" i="10"/>
  <c r="G26" i="10" s="1"/>
  <c r="I36" i="10"/>
  <c r="F31" i="11"/>
  <c r="I35" i="11"/>
  <c r="G23" i="12"/>
  <c r="F23" i="12"/>
  <c r="G25" i="12"/>
  <c r="F25" i="12"/>
  <c r="I10" i="13"/>
  <c r="G17" i="13"/>
  <c r="F17" i="13"/>
  <c r="G24" i="13"/>
  <c r="F29" i="13"/>
  <c r="G29" i="13" s="1"/>
  <c r="G25" i="14"/>
  <c r="F25" i="14"/>
  <c r="G37" i="14"/>
  <c r="F37" i="14"/>
  <c r="G15" i="10"/>
  <c r="G32" i="10"/>
  <c r="G37" i="10"/>
  <c r="G14" i="12"/>
  <c r="F14" i="12"/>
  <c r="M19" i="12"/>
  <c r="F22" i="13"/>
  <c r="G22" i="13" s="1"/>
  <c r="G26" i="13"/>
  <c r="F26" i="13"/>
  <c r="G35" i="13"/>
  <c r="F35" i="13"/>
  <c r="M16" i="14"/>
  <c r="M20" i="14"/>
  <c r="F27" i="14"/>
  <c r="G27" i="14" s="1"/>
  <c r="G33" i="14"/>
  <c r="F33" i="14"/>
  <c r="F21" i="13"/>
  <c r="G21" i="13" s="1"/>
  <c r="F26" i="14"/>
  <c r="G26" i="14" s="1"/>
  <c r="G20" i="12"/>
  <c r="F29" i="12"/>
  <c r="G29" i="12" s="1"/>
  <c r="F20" i="12"/>
  <c r="G24" i="12"/>
  <c r="F24" i="12"/>
  <c r="G31" i="13"/>
  <c r="F31" i="13"/>
  <c r="G29" i="14"/>
  <c r="F31" i="14"/>
  <c r="G31" i="14" s="1"/>
  <c r="G28" i="12"/>
  <c r="M8" i="13"/>
  <c r="I8" i="13"/>
  <c r="G35" i="14"/>
  <c r="M34" i="12"/>
  <c r="I34" i="12"/>
  <c r="I13" i="13"/>
  <c r="I18" i="13"/>
  <c r="I23" i="13"/>
  <c r="G34" i="13"/>
  <c r="F34" i="13"/>
  <c r="I11" i="13"/>
  <c r="G5" i="12"/>
  <c r="I5" i="12" s="1"/>
  <c r="G33" i="12"/>
  <c r="G36" i="12"/>
  <c r="G14" i="14"/>
  <c r="G12" i="12"/>
  <c r="G22" i="12"/>
  <c r="G32" i="12"/>
  <c r="F37" i="13"/>
  <c r="G37" i="13" s="1"/>
  <c r="F18" i="14"/>
  <c r="G18" i="14" s="1"/>
  <c r="D5" i="19"/>
  <c r="D10" i="17"/>
  <c r="D32" i="21"/>
  <c r="D36" i="21" s="1"/>
  <c r="C32" i="21"/>
  <c r="B29" i="21"/>
  <c r="B4" i="20"/>
  <c r="C29" i="21"/>
  <c r="C37" i="21" s="1"/>
  <c r="C12" i="22" s="1"/>
  <c r="C6" i="26" s="1"/>
  <c r="C24" i="21"/>
  <c r="D29" i="21"/>
  <c r="D37" i="21" s="1"/>
  <c r="D12" i="22" s="1"/>
  <c r="C7" i="26" s="1"/>
  <c r="B30" i="21"/>
  <c r="B31" i="21" s="1"/>
  <c r="B32" i="21" s="1"/>
  <c r="C17" i="8"/>
  <c r="D17" i="8"/>
  <c r="B17" i="8"/>
  <c r="B18" i="8" l="1"/>
  <c r="D18" i="8"/>
  <c r="C18" i="8"/>
  <c r="K5" i="12"/>
  <c r="I28" i="9"/>
  <c r="M28" i="9"/>
  <c r="C12" i="8"/>
  <c r="C19" i="8"/>
  <c r="B36" i="21"/>
  <c r="B37" i="21"/>
  <c r="B12" i="22" s="1"/>
  <c r="C5" i="26" s="1"/>
  <c r="M26" i="14"/>
  <c r="I12" i="13"/>
  <c r="M12" i="13"/>
  <c r="D2" i="13" s="1"/>
  <c r="D7" i="15" s="1"/>
  <c r="I16" i="11"/>
  <c r="M16" i="11"/>
  <c r="M21" i="11"/>
  <c r="M14" i="9"/>
  <c r="M30" i="12"/>
  <c r="I30" i="12"/>
  <c r="M27" i="9"/>
  <c r="M18" i="14"/>
  <c r="I30" i="13"/>
  <c r="M30" i="13"/>
  <c r="I32" i="14"/>
  <c r="M32" i="14"/>
  <c r="I19" i="11"/>
  <c r="M19" i="11"/>
  <c r="M31" i="14"/>
  <c r="I31" i="14"/>
  <c r="I21" i="13"/>
  <c r="M21" i="13"/>
  <c r="I22" i="13"/>
  <c r="M22" i="13"/>
  <c r="I36" i="13"/>
  <c r="M36" i="13"/>
  <c r="M29" i="13"/>
  <c r="I29" i="13"/>
  <c r="I25" i="13"/>
  <c r="M25" i="13"/>
  <c r="I28" i="11"/>
  <c r="M28" i="11"/>
  <c r="M19" i="13"/>
  <c r="I19" i="13"/>
  <c r="M13" i="14"/>
  <c r="M21" i="14"/>
  <c r="I27" i="13"/>
  <c r="M27" i="13"/>
  <c r="I20" i="13"/>
  <c r="M20" i="13"/>
  <c r="M27" i="14"/>
  <c r="M26" i="10"/>
  <c r="I16" i="13"/>
  <c r="M16" i="13"/>
  <c r="I15" i="13"/>
  <c r="M15" i="13"/>
  <c r="I22" i="11"/>
  <c r="M22" i="11"/>
  <c r="M26" i="11"/>
  <c r="M23" i="14"/>
  <c r="M26" i="9"/>
  <c r="M12" i="14"/>
  <c r="M29" i="12"/>
  <c r="I29" i="12"/>
  <c r="I37" i="13"/>
  <c r="M37" i="13"/>
  <c r="I32" i="13"/>
  <c r="M32" i="13"/>
  <c r="I27" i="12"/>
  <c r="M27" i="12"/>
  <c r="M27" i="11"/>
  <c r="G19" i="8"/>
  <c r="G12" i="8"/>
  <c r="M29" i="10"/>
  <c r="I29" i="10"/>
  <c r="M12" i="9"/>
  <c r="M30" i="14"/>
  <c r="I30" i="14"/>
  <c r="M18" i="11"/>
  <c r="I13" i="11"/>
  <c r="M13" i="11"/>
  <c r="C8" i="19"/>
  <c r="C15" i="19"/>
  <c r="C9" i="19"/>
  <c r="C14" i="19"/>
  <c r="C18" i="19" s="1"/>
  <c r="C7" i="20" s="1"/>
  <c r="C13" i="20" s="1"/>
  <c r="I17" i="11"/>
  <c r="M17" i="11"/>
  <c r="M16" i="9"/>
  <c r="L14" i="13"/>
  <c r="L17" i="13"/>
  <c r="E36" i="3"/>
  <c r="C36" i="3"/>
  <c r="I36" i="12"/>
  <c r="M36" i="12"/>
  <c r="M28" i="12"/>
  <c r="I28" i="12"/>
  <c r="M25" i="14"/>
  <c r="M23" i="12"/>
  <c r="D8" i="19"/>
  <c r="D11" i="19" s="1"/>
  <c r="D6" i="20" s="1"/>
  <c r="D12" i="20" s="1"/>
  <c r="D15" i="19"/>
  <c r="D9" i="19"/>
  <c r="D14" i="19"/>
  <c r="M15" i="10"/>
  <c r="I33" i="9"/>
  <c r="M33" i="9"/>
  <c r="I31" i="11"/>
  <c r="M31" i="11"/>
  <c r="B25" i="4"/>
  <c r="H27" i="11"/>
  <c r="L27" i="11" s="1"/>
  <c r="H22" i="11"/>
  <c r="L22" i="11" s="1"/>
  <c r="H17" i="11"/>
  <c r="L17" i="11" s="1"/>
  <c r="H12" i="11"/>
  <c r="L12" i="11" s="1"/>
  <c r="H24" i="11"/>
  <c r="L24" i="11" s="1"/>
  <c r="H19" i="11"/>
  <c r="L19" i="11" s="1"/>
  <c r="H14" i="11"/>
  <c r="H26" i="11"/>
  <c r="L26" i="11" s="1"/>
  <c r="H25" i="11"/>
  <c r="L25" i="11" s="1"/>
  <c r="H23" i="11"/>
  <c r="L23" i="11" s="1"/>
  <c r="H21" i="11"/>
  <c r="L21" i="11" s="1"/>
  <c r="H20" i="11"/>
  <c r="H18" i="11"/>
  <c r="L18" i="11" s="1"/>
  <c r="H16" i="11"/>
  <c r="L16" i="11" s="1"/>
  <c r="H15" i="11"/>
  <c r="H13" i="11"/>
  <c r="L13" i="11" s="1"/>
  <c r="H11" i="11"/>
  <c r="H8" i="11"/>
  <c r="H9" i="11"/>
  <c r="H10" i="11"/>
  <c r="H23" i="9"/>
  <c r="L23" i="9" s="1"/>
  <c r="H18" i="9"/>
  <c r="L18" i="9" s="1"/>
  <c r="H19" i="9"/>
  <c r="L19" i="9" s="1"/>
  <c r="H26" i="9"/>
  <c r="L26" i="9" s="1"/>
  <c r="H27" i="9"/>
  <c r="L27" i="9" s="1"/>
  <c r="H25" i="9"/>
  <c r="L25" i="9" s="1"/>
  <c r="H16" i="9"/>
  <c r="L16" i="9" s="1"/>
  <c r="H12" i="9"/>
  <c r="L12" i="9" s="1"/>
  <c r="H24" i="9"/>
  <c r="L24" i="9" s="1"/>
  <c r="H11" i="9"/>
  <c r="H21" i="9"/>
  <c r="L21" i="9" s="1"/>
  <c r="H22" i="9"/>
  <c r="L22" i="9" s="1"/>
  <c r="H20" i="9"/>
  <c r="H9" i="9"/>
  <c r="H8" i="9"/>
  <c r="H14" i="9"/>
  <c r="L14" i="9" s="1"/>
  <c r="H10" i="9"/>
  <c r="H17" i="9"/>
  <c r="H15" i="9"/>
  <c r="H13" i="9"/>
  <c r="L13" i="9" s="1"/>
  <c r="L19" i="13"/>
  <c r="L22" i="13"/>
  <c r="I31" i="13"/>
  <c r="M31" i="13"/>
  <c r="M12" i="12"/>
  <c r="M34" i="13"/>
  <c r="I34" i="13"/>
  <c r="M24" i="12"/>
  <c r="M35" i="13"/>
  <c r="I35" i="13"/>
  <c r="I32" i="10"/>
  <c r="M32" i="10"/>
  <c r="I17" i="13"/>
  <c r="M17" i="13"/>
  <c r="M14" i="14"/>
  <c r="M33" i="14"/>
  <c r="I33" i="14"/>
  <c r="I26" i="13"/>
  <c r="M26" i="13"/>
  <c r="M36" i="14"/>
  <c r="I36" i="14"/>
  <c r="M17" i="12"/>
  <c r="I33" i="13"/>
  <c r="M33" i="13"/>
  <c r="E38" i="3"/>
  <c r="C38" i="3"/>
  <c r="I32" i="9"/>
  <c r="M32" i="9"/>
  <c r="L24" i="13"/>
  <c r="L27" i="13"/>
  <c r="I37" i="14"/>
  <c r="M37" i="14"/>
  <c r="M25" i="12"/>
  <c r="I25" i="12"/>
  <c r="M28" i="14"/>
  <c r="I28" i="14"/>
  <c r="M13" i="10"/>
  <c r="M27" i="10"/>
  <c r="M23" i="9"/>
  <c r="D33" i="23"/>
  <c r="C33" i="23"/>
  <c r="B33" i="23"/>
  <c r="D17" i="22"/>
  <c r="D23" i="22" s="1"/>
  <c r="C17" i="22"/>
  <c r="C23" i="22" s="1"/>
  <c r="B17" i="22"/>
  <c r="B23" i="22" s="1"/>
  <c r="E5" i="26"/>
  <c r="E6" i="26"/>
  <c r="E7" i="26"/>
  <c r="B8" i="22"/>
  <c r="M25" i="10"/>
  <c r="I32" i="11"/>
  <c r="M32" i="11"/>
  <c r="M26" i="12"/>
  <c r="L15" i="13"/>
  <c r="I24" i="9"/>
  <c r="M24" i="9"/>
  <c r="M33" i="12"/>
  <c r="I33" i="12"/>
  <c r="K33" i="12" s="1"/>
  <c r="M15" i="12"/>
  <c r="I15" i="12"/>
  <c r="K15" i="12" s="1"/>
  <c r="M14" i="13"/>
  <c r="I14" i="13"/>
  <c r="M21" i="9"/>
  <c r="M17" i="14"/>
  <c r="M15" i="14"/>
  <c r="D19" i="8"/>
  <c r="K5" i="11" s="1"/>
  <c r="L16" i="13"/>
  <c r="M29" i="9"/>
  <c r="I29" i="9"/>
  <c r="D10" i="20"/>
  <c r="D14" i="20" s="1"/>
  <c r="I24" i="11"/>
  <c r="M24" i="11"/>
  <c r="L20" i="13"/>
  <c r="H24" i="12"/>
  <c r="L24" i="12" s="1"/>
  <c r="H23" i="12"/>
  <c r="L23" i="12" s="1"/>
  <c r="H14" i="12"/>
  <c r="L14" i="12" s="1"/>
  <c r="H13" i="12"/>
  <c r="L13" i="12" s="1"/>
  <c r="H25" i="12"/>
  <c r="L25" i="12" s="1"/>
  <c r="H15" i="12"/>
  <c r="L15" i="12" s="1"/>
  <c r="H26" i="12"/>
  <c r="L26" i="12" s="1"/>
  <c r="H16" i="12"/>
  <c r="H20" i="12"/>
  <c r="L20" i="12" s="1"/>
  <c r="H12" i="12"/>
  <c r="L12" i="12" s="1"/>
  <c r="H21" i="12"/>
  <c r="H17" i="12"/>
  <c r="L17" i="12" s="1"/>
  <c r="H22" i="12"/>
  <c r="L22" i="12" s="1"/>
  <c r="H27" i="12"/>
  <c r="L27" i="12" s="1"/>
  <c r="H11" i="12"/>
  <c r="H19" i="12"/>
  <c r="H8" i="12"/>
  <c r="H18" i="12"/>
  <c r="L18" i="12" s="1"/>
  <c r="H10" i="12"/>
  <c r="H9" i="12"/>
  <c r="M30" i="10"/>
  <c r="I30" i="10"/>
  <c r="L21" i="13"/>
  <c r="I30" i="11"/>
  <c r="M30" i="11"/>
  <c r="K11" i="13"/>
  <c r="C36" i="21"/>
  <c r="I25" i="11"/>
  <c r="M25" i="11"/>
  <c r="C16" i="4"/>
  <c r="L25" i="13"/>
  <c r="C37" i="3"/>
  <c r="E37" i="3"/>
  <c r="I18" i="9"/>
  <c r="M18" i="9"/>
  <c r="I12" i="11"/>
  <c r="M12" i="11"/>
  <c r="D2" i="11" s="1"/>
  <c r="C7" i="15" s="1"/>
  <c r="K34" i="12"/>
  <c r="M29" i="14"/>
  <c r="I29" i="14"/>
  <c r="M20" i="12"/>
  <c r="I20" i="12"/>
  <c r="M25" i="9"/>
  <c r="I25" i="9"/>
  <c r="I32" i="12"/>
  <c r="M32" i="12"/>
  <c r="J26" i="12"/>
  <c r="J16" i="12"/>
  <c r="J27" i="12"/>
  <c r="J17" i="12"/>
  <c r="J25" i="12"/>
  <c r="J24" i="12"/>
  <c r="J15" i="12"/>
  <c r="J14" i="12"/>
  <c r="J30" i="12"/>
  <c r="J21" i="12"/>
  <c r="J22" i="12"/>
  <c r="J35" i="12"/>
  <c r="K35" i="12" s="1"/>
  <c r="J31" i="12"/>
  <c r="K31" i="12" s="1"/>
  <c r="J34" i="12"/>
  <c r="J33" i="12"/>
  <c r="J32" i="12"/>
  <c r="J8" i="12"/>
  <c r="J29" i="12"/>
  <c r="J12" i="12"/>
  <c r="J19" i="12"/>
  <c r="J13" i="12"/>
  <c r="J20" i="12"/>
  <c r="J36" i="12"/>
  <c r="J11" i="12"/>
  <c r="J37" i="12"/>
  <c r="K37" i="12" s="1"/>
  <c r="J23" i="12"/>
  <c r="J9" i="12"/>
  <c r="J28" i="12"/>
  <c r="J18" i="12"/>
  <c r="J10" i="12"/>
  <c r="I22" i="9"/>
  <c r="M22" i="9"/>
  <c r="L26" i="13"/>
  <c r="J36" i="13"/>
  <c r="J31" i="13"/>
  <c r="J26" i="13"/>
  <c r="J21" i="13"/>
  <c r="J16" i="13"/>
  <c r="J11" i="13"/>
  <c r="D26" i="21"/>
  <c r="J37" i="13"/>
  <c r="J33" i="13"/>
  <c r="J32" i="13"/>
  <c r="J29" i="13"/>
  <c r="J24" i="13"/>
  <c r="J19" i="13"/>
  <c r="J14" i="13"/>
  <c r="J28" i="13"/>
  <c r="K28" i="13" s="1"/>
  <c r="J27" i="13"/>
  <c r="J23" i="13"/>
  <c r="K23" i="13" s="1"/>
  <c r="J22" i="13"/>
  <c r="J18" i="13"/>
  <c r="K18" i="13" s="1"/>
  <c r="J17" i="13"/>
  <c r="J13" i="13"/>
  <c r="K13" i="13" s="1"/>
  <c r="J12" i="13"/>
  <c r="J10" i="13"/>
  <c r="K10" i="13" s="1"/>
  <c r="J9" i="13"/>
  <c r="K9" i="13" s="1"/>
  <c r="J35" i="13"/>
  <c r="J8" i="13"/>
  <c r="K8" i="13" s="1"/>
  <c r="J15" i="13"/>
  <c r="J25" i="13"/>
  <c r="J34" i="13"/>
  <c r="J30" i="13"/>
  <c r="J20" i="13"/>
  <c r="M18" i="12"/>
  <c r="I19" i="9"/>
  <c r="M19" i="9"/>
  <c r="M14" i="12"/>
  <c r="I14" i="12"/>
  <c r="K14" i="12" s="1"/>
  <c r="M24" i="13"/>
  <c r="I24" i="13"/>
  <c r="I13" i="12"/>
  <c r="K13" i="12" s="1"/>
  <c r="M13" i="12"/>
  <c r="I29" i="11"/>
  <c r="M29" i="11"/>
  <c r="I23" i="11"/>
  <c r="M23" i="11"/>
  <c r="I22" i="12"/>
  <c r="M22" i="12"/>
  <c r="M35" i="14"/>
  <c r="I35" i="14"/>
  <c r="M37" i="10"/>
  <c r="I37" i="10"/>
  <c r="I13" i="9"/>
  <c r="M13" i="9"/>
  <c r="B14" i="19"/>
  <c r="B18" i="19" s="1"/>
  <c r="B7" i="20" s="1"/>
  <c r="B13" i="20" s="1"/>
  <c r="B8" i="19"/>
  <c r="B15" i="19"/>
  <c r="B9" i="19"/>
  <c r="L12" i="13"/>
  <c r="J37" i="14"/>
  <c r="J36" i="14"/>
  <c r="J31" i="14"/>
  <c r="J26" i="14"/>
  <c r="J21" i="14"/>
  <c r="J16" i="14"/>
  <c r="J11" i="14"/>
  <c r="J35" i="14"/>
  <c r="J30" i="14"/>
  <c r="J25" i="14"/>
  <c r="J20" i="14"/>
  <c r="J15" i="14"/>
  <c r="J10" i="14"/>
  <c r="J34" i="14"/>
  <c r="K34" i="14" s="1"/>
  <c r="J33" i="14"/>
  <c r="J32" i="14"/>
  <c r="J29" i="14"/>
  <c r="J28" i="14"/>
  <c r="J27" i="14"/>
  <c r="J24" i="14"/>
  <c r="J23" i="14"/>
  <c r="J22" i="14"/>
  <c r="J19" i="14"/>
  <c r="J18" i="14"/>
  <c r="J17" i="14"/>
  <c r="J14" i="14"/>
  <c r="J13" i="14"/>
  <c r="J12" i="14"/>
  <c r="J9" i="14"/>
  <c r="J8" i="14"/>
  <c r="K25" i="12" l="1"/>
  <c r="K16" i="13"/>
  <c r="K29" i="14"/>
  <c r="L16" i="12"/>
  <c r="I16" i="12"/>
  <c r="K16" i="12" s="1"/>
  <c r="B11" i="20"/>
  <c r="L9" i="9"/>
  <c r="I9" i="9"/>
  <c r="C11" i="19"/>
  <c r="C6" i="20" s="1"/>
  <c r="K19" i="13"/>
  <c r="L10" i="9"/>
  <c r="I10" i="9"/>
  <c r="L11" i="11"/>
  <c r="I11" i="11"/>
  <c r="L14" i="11"/>
  <c r="I14" i="11"/>
  <c r="K14" i="11" s="1"/>
  <c r="K27" i="12"/>
  <c r="C11" i="20"/>
  <c r="K28" i="14"/>
  <c r="K31" i="13"/>
  <c r="L20" i="9"/>
  <c r="I20" i="9"/>
  <c r="I23" i="12"/>
  <c r="K23" i="12" s="1"/>
  <c r="K37" i="13"/>
  <c r="I26" i="11"/>
  <c r="K22" i="13"/>
  <c r="K30" i="13"/>
  <c r="K5" i="10"/>
  <c r="I18" i="12"/>
  <c r="K18" i="12" s="1"/>
  <c r="K32" i="12"/>
  <c r="K14" i="13"/>
  <c r="K35" i="14"/>
  <c r="L19" i="12"/>
  <c r="I19" i="12"/>
  <c r="K19" i="12" s="1"/>
  <c r="I26" i="12"/>
  <c r="K26" i="12" s="1"/>
  <c r="D7" i="26"/>
  <c r="K26" i="13"/>
  <c r="K35" i="13"/>
  <c r="L20" i="11"/>
  <c r="I20" i="11"/>
  <c r="H27" i="14"/>
  <c r="H22" i="14"/>
  <c r="H17" i="14"/>
  <c r="H12" i="14"/>
  <c r="H26" i="14"/>
  <c r="H25" i="14"/>
  <c r="H21" i="14"/>
  <c r="H20" i="14"/>
  <c r="H16" i="14"/>
  <c r="H15" i="14"/>
  <c r="H11" i="14"/>
  <c r="H10" i="14"/>
  <c r="H14" i="14"/>
  <c r="H8" i="14"/>
  <c r="H18" i="14"/>
  <c r="H24" i="14"/>
  <c r="H13" i="14"/>
  <c r="H9" i="14"/>
  <c r="H23" i="14"/>
  <c r="H19" i="14"/>
  <c r="K29" i="12"/>
  <c r="I21" i="11"/>
  <c r="K21" i="11" s="1"/>
  <c r="H24" i="10"/>
  <c r="H19" i="10"/>
  <c r="H14" i="10"/>
  <c r="H23" i="10"/>
  <c r="H18" i="10"/>
  <c r="H13" i="10"/>
  <c r="H26" i="10"/>
  <c r="H8" i="10"/>
  <c r="H27" i="10"/>
  <c r="H25" i="10"/>
  <c r="H9" i="10"/>
  <c r="H22" i="10"/>
  <c r="H17" i="10"/>
  <c r="H16" i="10"/>
  <c r="H21" i="10"/>
  <c r="H20" i="10"/>
  <c r="H15" i="10"/>
  <c r="H11" i="10"/>
  <c r="H12" i="10"/>
  <c r="H10" i="10"/>
  <c r="L21" i="12"/>
  <c r="I21" i="12"/>
  <c r="K21" i="12" s="1"/>
  <c r="D18" i="15"/>
  <c r="K5" i="14"/>
  <c r="K22" i="11"/>
  <c r="K20" i="13"/>
  <c r="K21" i="13"/>
  <c r="K28" i="12"/>
  <c r="K31" i="14"/>
  <c r="K16" i="11"/>
  <c r="K30" i="11"/>
  <c r="K33" i="14"/>
  <c r="I16" i="9"/>
  <c r="I24" i="12"/>
  <c r="K24" i="12" s="1"/>
  <c r="L11" i="9"/>
  <c r="I11" i="9"/>
  <c r="L10" i="11"/>
  <c r="I10" i="11"/>
  <c r="B11" i="19"/>
  <c r="B6" i="20" s="1"/>
  <c r="K22" i="12"/>
  <c r="K24" i="13"/>
  <c r="K20" i="12"/>
  <c r="I23" i="9"/>
  <c r="L15" i="9"/>
  <c r="I15" i="9"/>
  <c r="L9" i="11"/>
  <c r="I9" i="11"/>
  <c r="D18" i="19"/>
  <c r="D7" i="20" s="1"/>
  <c r="I18" i="11"/>
  <c r="I27" i="11"/>
  <c r="K27" i="11" s="1"/>
  <c r="K15" i="13"/>
  <c r="K27" i="13"/>
  <c r="K25" i="13"/>
  <c r="I27" i="9"/>
  <c r="D5" i="26"/>
  <c r="K37" i="14"/>
  <c r="K33" i="13"/>
  <c r="K34" i="13"/>
  <c r="L17" i="9"/>
  <c r="I17" i="9"/>
  <c r="L8" i="11"/>
  <c r="I8" i="11"/>
  <c r="K30" i="14"/>
  <c r="I26" i="9"/>
  <c r="K29" i="13"/>
  <c r="K30" i="12"/>
  <c r="K12" i="13"/>
  <c r="C18" i="15"/>
  <c r="J23" i="10"/>
  <c r="J18" i="10"/>
  <c r="J13" i="10"/>
  <c r="J32" i="10"/>
  <c r="K32" i="10" s="1"/>
  <c r="J31" i="10"/>
  <c r="K31" i="10" s="1"/>
  <c r="J30" i="10"/>
  <c r="K30" i="10" s="1"/>
  <c r="J22" i="10"/>
  <c r="J17" i="10"/>
  <c r="J12" i="10"/>
  <c r="J28" i="10"/>
  <c r="K28" i="10" s="1"/>
  <c r="J27" i="10"/>
  <c r="J26" i="10"/>
  <c r="J29" i="10"/>
  <c r="K29" i="10" s="1"/>
  <c r="J8" i="10"/>
  <c r="J33" i="10"/>
  <c r="K33" i="10" s="1"/>
  <c r="J24" i="10"/>
  <c r="J20" i="10"/>
  <c r="J19" i="10"/>
  <c r="J15" i="10"/>
  <c r="J9" i="10"/>
  <c r="J25" i="10"/>
  <c r="J10" i="10"/>
  <c r="J36" i="10"/>
  <c r="K36" i="10" s="1"/>
  <c r="J35" i="10"/>
  <c r="K35" i="10" s="1"/>
  <c r="J34" i="10"/>
  <c r="K34" i="10" s="1"/>
  <c r="J21" i="10"/>
  <c r="J16" i="10"/>
  <c r="J14" i="10"/>
  <c r="J37" i="10"/>
  <c r="K37" i="10" s="1"/>
  <c r="J11" i="10"/>
  <c r="I17" i="12"/>
  <c r="K17" i="12" s="1"/>
  <c r="K31" i="11"/>
  <c r="K36" i="12"/>
  <c r="D2" i="9"/>
  <c r="B7" i="15" s="1"/>
  <c r="C26" i="21"/>
  <c r="J36" i="11"/>
  <c r="K36" i="11" s="1"/>
  <c r="J31" i="11"/>
  <c r="J26" i="11"/>
  <c r="J21" i="11"/>
  <c r="J16" i="11"/>
  <c r="J11" i="11"/>
  <c r="J33" i="11"/>
  <c r="K33" i="11" s="1"/>
  <c r="J28" i="11"/>
  <c r="K28" i="11" s="1"/>
  <c r="J23" i="11"/>
  <c r="K23" i="11" s="1"/>
  <c r="J18" i="11"/>
  <c r="J13" i="11"/>
  <c r="K13" i="11" s="1"/>
  <c r="J29" i="11"/>
  <c r="K29" i="11" s="1"/>
  <c r="J27" i="11"/>
  <c r="J25" i="11"/>
  <c r="J22" i="11"/>
  <c r="J20" i="11"/>
  <c r="J17" i="11"/>
  <c r="K17" i="11" s="1"/>
  <c r="J15" i="11"/>
  <c r="J37" i="11"/>
  <c r="K37" i="11" s="1"/>
  <c r="J24" i="11"/>
  <c r="K24" i="11" s="1"/>
  <c r="J19" i="11"/>
  <c r="K19" i="11" s="1"/>
  <c r="J14" i="11"/>
  <c r="J12" i="11"/>
  <c r="K12" i="11" s="1"/>
  <c r="J10" i="11"/>
  <c r="J30" i="11"/>
  <c r="J9" i="11"/>
  <c r="J8" i="11"/>
  <c r="J34" i="11"/>
  <c r="K34" i="11" s="1"/>
  <c r="J32" i="11"/>
  <c r="K32" i="11" s="1"/>
  <c r="J35" i="11"/>
  <c r="K35" i="11" s="1"/>
  <c r="D38" i="21"/>
  <c r="D39" i="21"/>
  <c r="D13" i="22" s="1"/>
  <c r="K25" i="11"/>
  <c r="I21" i="9"/>
  <c r="I7" i="26"/>
  <c r="D6" i="26"/>
  <c r="K36" i="14"/>
  <c r="K17" i="13"/>
  <c r="I12" i="12"/>
  <c r="K12" i="12" s="1"/>
  <c r="L8" i="9"/>
  <c r="I8" i="9"/>
  <c r="L15" i="11"/>
  <c r="I15" i="11"/>
  <c r="I12" i="9"/>
  <c r="K32" i="13"/>
  <c r="K36" i="13"/>
  <c r="K32" i="14"/>
  <c r="I14" i="9"/>
  <c r="B26" i="21"/>
  <c r="J37" i="9"/>
  <c r="K37" i="9" s="1"/>
  <c r="J32" i="9"/>
  <c r="K32" i="9" s="1"/>
  <c r="J27" i="9"/>
  <c r="J22" i="9"/>
  <c r="K22" i="9" s="1"/>
  <c r="J17" i="9"/>
  <c r="J26" i="9"/>
  <c r="J25" i="9"/>
  <c r="K25" i="9" s="1"/>
  <c r="J23" i="9"/>
  <c r="J24" i="9"/>
  <c r="K24" i="9" s="1"/>
  <c r="J16" i="9"/>
  <c r="J11" i="9"/>
  <c r="J36" i="9"/>
  <c r="K36" i="9" s="1"/>
  <c r="J31" i="9"/>
  <c r="K31" i="9" s="1"/>
  <c r="J15" i="9"/>
  <c r="J10" i="9"/>
  <c r="J35" i="9"/>
  <c r="K35" i="9" s="1"/>
  <c r="J12" i="9"/>
  <c r="J30" i="9"/>
  <c r="K30" i="9" s="1"/>
  <c r="J14" i="9"/>
  <c r="J19" i="9"/>
  <c r="K19" i="9" s="1"/>
  <c r="J28" i="9"/>
  <c r="K28" i="9" s="1"/>
  <c r="J13" i="9"/>
  <c r="K13" i="9" s="1"/>
  <c r="J8" i="9"/>
  <c r="J21" i="9"/>
  <c r="J9" i="9"/>
  <c r="J33" i="9"/>
  <c r="K33" i="9" s="1"/>
  <c r="J18" i="9"/>
  <c r="K18" i="9" s="1"/>
  <c r="J34" i="9"/>
  <c r="K34" i="9" s="1"/>
  <c r="J29" i="9"/>
  <c r="K29" i="9" s="1"/>
  <c r="J20" i="9"/>
  <c r="B19" i="8"/>
  <c r="K5" i="9" s="1"/>
  <c r="K23" i="9" l="1"/>
  <c r="K16" i="9"/>
  <c r="K11" i="11"/>
  <c r="K20" i="9"/>
  <c r="K15" i="11"/>
  <c r="B2" i="13"/>
  <c r="D4" i="15" s="1"/>
  <c r="K20" i="11"/>
  <c r="K12" i="9"/>
  <c r="C38" i="21"/>
  <c r="C39" i="21"/>
  <c r="C13" i="22" s="1"/>
  <c r="L26" i="10"/>
  <c r="I26" i="10"/>
  <c r="K26" i="10" s="1"/>
  <c r="K15" i="9"/>
  <c r="I24" i="10"/>
  <c r="K24" i="10" s="1"/>
  <c r="L24" i="10"/>
  <c r="L14" i="14"/>
  <c r="I14" i="14"/>
  <c r="K14" i="14" s="1"/>
  <c r="L17" i="14"/>
  <c r="I17" i="14"/>
  <c r="K17" i="14" s="1"/>
  <c r="K26" i="11"/>
  <c r="B7" i="26"/>
  <c r="D24" i="22"/>
  <c r="D14" i="23"/>
  <c r="D19" i="23" s="1"/>
  <c r="D34" i="23"/>
  <c r="D16" i="22"/>
  <c r="D22" i="22" s="1"/>
  <c r="D12" i="23"/>
  <c r="D15" i="23"/>
  <c r="D15" i="22"/>
  <c r="D21" i="22" s="1"/>
  <c r="K17" i="9"/>
  <c r="K27" i="9"/>
  <c r="L25" i="10"/>
  <c r="I25" i="10"/>
  <c r="K25" i="10" s="1"/>
  <c r="L22" i="14"/>
  <c r="I22" i="14"/>
  <c r="K22" i="14" s="1"/>
  <c r="C12" i="20"/>
  <c r="C10" i="20"/>
  <c r="C14" i="20" s="1"/>
  <c r="L12" i="10"/>
  <c r="I12" i="10"/>
  <c r="K12" i="10" s="1"/>
  <c r="L27" i="10"/>
  <c r="I27" i="10"/>
  <c r="K27" i="10" s="1"/>
  <c r="L27" i="14"/>
  <c r="I27" i="14"/>
  <c r="K27" i="14" s="1"/>
  <c r="L19" i="14"/>
  <c r="I19" i="14"/>
  <c r="K19" i="14" s="1"/>
  <c r="L15" i="14"/>
  <c r="I15" i="14"/>
  <c r="K15" i="14" s="1"/>
  <c r="K9" i="9"/>
  <c r="L20" i="14"/>
  <c r="I20" i="14"/>
  <c r="K20" i="14" s="1"/>
  <c r="L15" i="10"/>
  <c r="I15" i="10"/>
  <c r="K15" i="10" s="1"/>
  <c r="L16" i="14"/>
  <c r="I16" i="14"/>
  <c r="K16" i="14" s="1"/>
  <c r="K21" i="9"/>
  <c r="K18" i="11"/>
  <c r="L23" i="14"/>
  <c r="I23" i="14"/>
  <c r="K23" i="14" s="1"/>
  <c r="I20" i="10"/>
  <c r="K20" i="10" s="1"/>
  <c r="L20" i="10"/>
  <c r="D13" i="20"/>
  <c r="D11" i="20"/>
  <c r="K10" i="11"/>
  <c r="L16" i="10"/>
  <c r="I16" i="10"/>
  <c r="K16" i="10" s="1"/>
  <c r="L23" i="10"/>
  <c r="I23" i="10"/>
  <c r="K23" i="10" s="1"/>
  <c r="L24" i="14"/>
  <c r="I24" i="14"/>
  <c r="K24" i="14" s="1"/>
  <c r="L25" i="14"/>
  <c r="I25" i="14"/>
  <c r="K25" i="14" s="1"/>
  <c r="B18" i="15"/>
  <c r="K10" i="9"/>
  <c r="B12" i="20"/>
  <c r="B10" i="20"/>
  <c r="B14" i="20" s="1"/>
  <c r="L21" i="10"/>
  <c r="I21" i="10"/>
  <c r="K21" i="10" s="1"/>
  <c r="L13" i="14"/>
  <c r="I13" i="14"/>
  <c r="K13" i="14" s="1"/>
  <c r="L21" i="14"/>
  <c r="I21" i="14"/>
  <c r="K21" i="14" s="1"/>
  <c r="B38" i="21"/>
  <c r="B39" i="21"/>
  <c r="B13" i="22" s="1"/>
  <c r="K14" i="9"/>
  <c r="K9" i="11"/>
  <c r="L17" i="10"/>
  <c r="I17" i="10"/>
  <c r="K17" i="10" s="1"/>
  <c r="L14" i="10"/>
  <c r="I14" i="10"/>
  <c r="K14" i="10" s="1"/>
  <c r="L18" i="14"/>
  <c r="I18" i="14"/>
  <c r="K18" i="14" s="1"/>
  <c r="L26" i="14"/>
  <c r="I26" i="14"/>
  <c r="K26" i="14" s="1"/>
  <c r="I5" i="26"/>
  <c r="F2" i="13"/>
  <c r="D9" i="15" s="1"/>
  <c r="K8" i="9"/>
  <c r="L13" i="10"/>
  <c r="I13" i="10"/>
  <c r="K13" i="10" s="1"/>
  <c r="I6" i="26"/>
  <c r="K26" i="9"/>
  <c r="L18" i="10"/>
  <c r="I18" i="10"/>
  <c r="K18" i="10" s="1"/>
  <c r="K8" i="11"/>
  <c r="K11" i="9"/>
  <c r="L22" i="10"/>
  <c r="I22" i="10"/>
  <c r="K22" i="10" s="1"/>
  <c r="I19" i="10"/>
  <c r="K19" i="10" s="1"/>
  <c r="L19" i="10"/>
  <c r="L12" i="14"/>
  <c r="I12" i="14"/>
  <c r="K12" i="14" s="1"/>
  <c r="B2" i="9" l="1"/>
  <c r="B4" i="15" s="1"/>
  <c r="B2" i="11"/>
  <c r="C4" i="15" s="1"/>
  <c r="F2" i="11"/>
  <c r="C9" i="15" s="1"/>
  <c r="D24" i="23"/>
  <c r="D20" i="23"/>
  <c r="D16" i="7"/>
  <c r="D27" i="23"/>
  <c r="D28" i="23" s="1"/>
  <c r="D29" i="23" s="1"/>
  <c r="F2" i="9"/>
  <c r="B9" i="15" s="1"/>
  <c r="G7" i="26"/>
  <c r="F7" i="26"/>
  <c r="C12" i="23"/>
  <c r="B6" i="26"/>
  <c r="C24" i="22"/>
  <c r="C14" i="23"/>
  <c r="C19" i="23" s="1"/>
  <c r="C34" i="23"/>
  <c r="C16" i="22"/>
  <c r="C22" i="22" s="1"/>
  <c r="C15" i="23"/>
  <c r="C15" i="22"/>
  <c r="C21" i="22" s="1"/>
  <c r="B5" i="26"/>
  <c r="B12" i="23"/>
  <c r="B24" i="22"/>
  <c r="B14" i="23"/>
  <c r="B19" i="23" s="1"/>
  <c r="B34" i="23"/>
  <c r="B16" i="22"/>
  <c r="B22" i="22" s="1"/>
  <c r="B15" i="23"/>
  <c r="B15" i="22"/>
  <c r="B21" i="22" s="1"/>
  <c r="D35" i="23"/>
  <c r="D36" i="23"/>
  <c r="H7" i="26"/>
  <c r="D63" i="15" l="1"/>
  <c r="E10" i="14"/>
  <c r="E9" i="14"/>
  <c r="E8" i="14"/>
  <c r="E11" i="14"/>
  <c r="C35" i="23"/>
  <c r="C36" i="23"/>
  <c r="B36" i="23"/>
  <c r="B35" i="23"/>
  <c r="G5" i="26"/>
  <c r="F5" i="26"/>
  <c r="H5" i="26"/>
  <c r="C24" i="23"/>
  <c r="C20" i="23"/>
  <c r="C16" i="7"/>
  <c r="C27" i="23"/>
  <c r="C28" i="23" s="1"/>
  <c r="C29" i="23" s="1"/>
  <c r="B24" i="23"/>
  <c r="B20" i="23"/>
  <c r="B16" i="7"/>
  <c r="B27" i="23"/>
  <c r="B28" i="23" s="1"/>
  <c r="B29" i="23" s="1"/>
  <c r="G6" i="26"/>
  <c r="F6" i="26"/>
  <c r="H6" i="26"/>
  <c r="B63" i="15" l="1"/>
  <c r="E11" i="10"/>
  <c r="E10" i="10"/>
  <c r="E8" i="10"/>
  <c r="E9" i="10"/>
  <c r="F11" i="14"/>
  <c r="G11" i="14" s="1"/>
  <c r="F8" i="14"/>
  <c r="G8" i="14" s="1"/>
  <c r="D13" i="15"/>
  <c r="D14" i="15" s="1"/>
  <c r="F10" i="14"/>
  <c r="G10" i="14" s="1"/>
  <c r="C63" i="15"/>
  <c r="E10" i="12"/>
  <c r="E8" i="12"/>
  <c r="E9" i="12"/>
  <c r="E11" i="12"/>
  <c r="F9" i="14"/>
  <c r="G9" i="14"/>
  <c r="M11" i="14" l="1"/>
  <c r="I11" i="14"/>
  <c r="K11" i="14" s="1"/>
  <c r="L11" i="14"/>
  <c r="M9" i="14"/>
  <c r="I9" i="14"/>
  <c r="K9" i="14" s="1"/>
  <c r="L9" i="14"/>
  <c r="F11" i="12"/>
  <c r="G11" i="12"/>
  <c r="G8" i="12"/>
  <c r="C13" i="15"/>
  <c r="C14" i="15" s="1"/>
  <c r="F8" i="12"/>
  <c r="D15" i="15"/>
  <c r="M8" i="14"/>
  <c r="I8" i="14"/>
  <c r="K8" i="14" s="1"/>
  <c r="L8" i="14"/>
  <c r="F9" i="12"/>
  <c r="G9" i="12"/>
  <c r="F10" i="12"/>
  <c r="G10" i="12" s="1"/>
  <c r="B13" i="15"/>
  <c r="B14" i="15" s="1"/>
  <c r="F8" i="10"/>
  <c r="G8" i="10" s="1"/>
  <c r="F11" i="10"/>
  <c r="G11" i="10"/>
  <c r="F9" i="10"/>
  <c r="G9" i="10" s="1"/>
  <c r="F10" i="10"/>
  <c r="G10" i="10"/>
  <c r="M10" i="14"/>
  <c r="I10" i="14"/>
  <c r="K10" i="14" s="1"/>
  <c r="L10" i="14"/>
  <c r="B15" i="15" l="1"/>
  <c r="I8" i="10"/>
  <c r="K8" i="10" s="1"/>
  <c r="M8" i="10"/>
  <c r="L8" i="10"/>
  <c r="M10" i="12"/>
  <c r="I10" i="12"/>
  <c r="K10" i="12" s="1"/>
  <c r="L10" i="12"/>
  <c r="I9" i="10"/>
  <c r="K9" i="10" s="1"/>
  <c r="M9" i="10"/>
  <c r="L9" i="10"/>
  <c r="C15" i="15"/>
  <c r="M8" i="12"/>
  <c r="I8" i="12"/>
  <c r="K8" i="12" s="1"/>
  <c r="L8" i="12"/>
  <c r="M10" i="10"/>
  <c r="I10" i="10"/>
  <c r="K10" i="10" s="1"/>
  <c r="L10" i="10"/>
  <c r="I11" i="12"/>
  <c r="K11" i="12" s="1"/>
  <c r="M11" i="12"/>
  <c r="L11" i="12"/>
  <c r="D16" i="15"/>
  <c r="F2" i="14"/>
  <c r="B2" i="14"/>
  <c r="D2" i="14"/>
  <c r="D8" i="15" s="1"/>
  <c r="I9" i="12"/>
  <c r="K9" i="12" s="1"/>
  <c r="M9" i="12"/>
  <c r="L9" i="12"/>
  <c r="M11" i="10"/>
  <c r="I11" i="10"/>
  <c r="K11" i="10" s="1"/>
  <c r="L11" i="10"/>
  <c r="D5" i="15" l="1"/>
  <c r="D65" i="15" s="1"/>
  <c r="D66" i="15" s="1"/>
  <c r="D25" i="23"/>
  <c r="D6" i="15"/>
  <c r="C16" i="15"/>
  <c r="B2" i="12"/>
  <c r="F2" i="12"/>
  <c r="D2" i="10"/>
  <c r="B8" i="15" s="1"/>
  <c r="D19" i="15"/>
  <c r="D10" i="15"/>
  <c r="D2" i="12"/>
  <c r="C8" i="15" s="1"/>
  <c r="B16" i="15"/>
  <c r="F2" i="10"/>
  <c r="B2" i="10"/>
  <c r="C19" i="15" l="1"/>
  <c r="C10" i="15"/>
  <c r="B25" i="23"/>
  <c r="B6" i="15"/>
  <c r="B5" i="15"/>
  <c r="B65" i="15" s="1"/>
  <c r="B66" i="15" s="1"/>
  <c r="B19" i="15"/>
  <c r="B10" i="15"/>
  <c r="D30" i="23"/>
  <c r="D26" i="23"/>
  <c r="C5" i="15"/>
  <c r="C65" i="15" s="1"/>
  <c r="C66" i="15" s="1"/>
  <c r="C25" i="23"/>
  <c r="C6" i="15"/>
  <c r="B30" i="23" l="1"/>
  <c r="B26" i="23"/>
  <c r="C30" i="23"/>
  <c r="C26" i="23"/>
</calcChain>
</file>

<file path=xl/sharedStrings.xml><?xml version="1.0" encoding="utf-8"?>
<sst xmlns="http://schemas.openxmlformats.org/spreadsheetml/2006/main" count="1022" uniqueCount="745">
  <si>
    <t>SPUR Combined Model (v7 + Model 3)</t>
  </si>
  <si>
    <t>MODEL 2: Project-Level DCF (Developer IRR)</t>
  </si>
  <si>
    <t>Inputs</t>
  </si>
  <si>
    <t>Global scenario levers (queue wait, ITC, credit type) + shared parameters</t>
  </si>
  <si>
    <t>Configurations</t>
  </si>
  <si>
    <t>Per-configuration CAPEX, CF, degradation, operating life (Solar/Wind/Geo)</t>
  </si>
  <si>
    <t>Capitalization</t>
  </si>
  <si>
    <t>Tax equity / debt / developer equity sizing: 6 columns (Base+Coloc × 3 configs)</t>
  </si>
  <si>
    <t>SolarBase</t>
  </si>
  <si>
    <t>Solar+BESS 100MW cash flow waterfall: project idle during queue wait</t>
  </si>
  <si>
    <t>SolarColoc</t>
  </si>
  <si>
    <t>Solar+BESS 100MW cash flow waterfall: BTM sales during queue wait</t>
  </si>
  <si>
    <t>WindBase</t>
  </si>
  <si>
    <t>Wind+BESS 150MW cash flow waterfall: project idle during queue wait</t>
  </si>
  <si>
    <t>WindColoc</t>
  </si>
  <si>
    <t>Wind+BESS 150MW cash flow waterfall: BTM sales during queue wait</t>
  </si>
  <si>
    <t>GeoBase</t>
  </si>
  <si>
    <t>Geothermal+BESS 100MW cash flow waterfall: project idle during queue wait</t>
  </si>
  <si>
    <t>GeoColoc</t>
  </si>
  <si>
    <t>Geothermal+BESS 100MW cash flow waterfall: BTM sales during queue wait</t>
  </si>
  <si>
    <t>Results</t>
  </si>
  <si>
    <t>Live IRR/NPV/Value Bridge + Queue×ITC sweep tables (all 3 configs)</t>
  </si>
  <si>
    <t>MODEL 3: Data Center Electricity Cost (H2 Test)</t>
  </si>
  <si>
    <t>M3_Inputs</t>
  </si>
  <si>
    <t>DC load, generation supply, sourced &amp; placeholder prices</t>
  </si>
  <si>
    <t>M3_Coverage</t>
  </si>
  <si>
    <t>Energy-balance coverage ratio by configuration</t>
  </si>
  <si>
    <t>M3_StructA_B</t>
  </si>
  <si>
    <t>Structure A (utility tariff) &amp; Structure B (sleeved grid PPA) all-in cost</t>
  </si>
  <si>
    <t>M3_StructC</t>
  </si>
  <si>
    <t>Structure C (BTM co-location) Phase 1 &amp; Phase 2 all-in cost</t>
  </si>
  <si>
    <t>M3_Results</t>
  </si>
  <si>
    <t>Cost comparison + H2 savings test (20-35% threshold)</t>
  </si>
  <si>
    <t>MODEL 1: Electricity Price Benchmark (Stage 1)</t>
  </si>
  <si>
    <t>M1_Inputs</t>
  </si>
  <si>
    <t>All DMM-sourced data points (annual, quarterly, hourly, GHG) with URL citations</t>
  </si>
  <si>
    <t>M1_Benchmarks</t>
  </si>
  <si>
    <t>Derivation of P_low / P_avg / P_high from DMM hourly &amp; annual statistics</t>
  </si>
  <si>
    <t>M1_Scenarios</t>
  </si>
  <si>
    <t>3×3 matrix (load × carbon) = 9 price scenarios; spot-to-PPA bridge; solar capture caveat</t>
  </si>
  <si>
    <t>M1_Notes</t>
  </si>
  <si>
    <t>Methodology: why DMM instead of raw OASIS, binning proxy, limitations, replication path</t>
  </si>
  <si>
    <t>MODEL 4: Bilateral BTM PPA Pricing (Negotiation Zone)</t>
  </si>
  <si>
    <t>M4_LCOE</t>
  </si>
  <si>
    <t>LCOE per configuration (gross &amp; net of tax equity): the developer's price floor</t>
  </si>
  <si>
    <t>M4_Bounds</t>
  </si>
  <si>
    <t>Floor vs three ceilings (all-in / energy-only / spot+wires); zone width; viability tests</t>
  </si>
  <si>
    <t>M4_Pricing</t>
  </si>
  <si>
    <t>Three price-setting methods; α lever; two-sided test; analytical mutually-acceptable range</t>
  </si>
  <si>
    <t>M4_Notes</t>
  </si>
  <si>
    <t>Methodology, findings (incl. $60 &lt; LCOE for solar/wind), open loop-closure items</t>
  </si>
  <si>
    <t>FIGURES (native Excel charts; data + chart on each sheet)</t>
  </si>
  <si>
    <t>Fig2_Breakeven</t>
  </si>
  <si>
    <t>Levered IRR vs queue wait, 6 panels (lever × config); static sweep values</t>
  </si>
  <si>
    <t>Fig3_Zone</t>
  </si>
  <si>
    <t>Price floor / ceiling / acceptable range stacked bar; LIVE links to M4</t>
  </si>
  <si>
    <t>Fig4_Alpha</t>
  </si>
  <si>
    <t>IRR and DC saving vs bargaining share α, 3 panels; static sweep values</t>
  </si>
  <si>
    <t>Model 1: Electricity Price Benchmark: INPUTS (CAISO DMM Published Statistics)</t>
  </si>
  <si>
    <t>Blue = hardcoded from published DMM reports. Every value carries a source + URL in column E. See M1_Notes for methodology deviation from original Stage 1 spec.</t>
  </si>
  <si>
    <t>SEC 1: ANNUAL LOAD-WEIGHTED AVERAGE PRICES: California region</t>
  </si>
  <si>
    <t>Parameter</t>
  </si>
  <si>
    <t>Value</t>
  </si>
  <si>
    <t>Unit</t>
  </si>
  <si>
    <t>Year</t>
  </si>
  <si>
    <t>Source</t>
  </si>
  <si>
    <t>CA region day-ahead market avg price</t>
  </si>
  <si>
    <t>$/MWh</t>
  </si>
  <si>
    <t>2024</t>
  </si>
  <si>
    <t>CAISO DMM 2024 Annual Report (Aug 7, 2025), Executive Summary p.3: 'day-ahead market prices averaged $41/MWh'. https://www.caiso.com/documents/2024-annual-report-on-market-issues-and-performance-aug-07-2025.pdf</t>
  </si>
  <si>
    <t>CA region 15-min market avg price</t>
  </si>
  <si>
    <t>CAISO DMM 2024 Annual Report, Figure E.2 table: California 41.1, -36% vs 2023. Same URL.</t>
  </si>
  <si>
    <t>2025</t>
  </si>
  <si>
    <t>CAISO DMM 2025 Annual Report (Jun 26, 2026), Executive Summary p.3: 'Day-ahead market prices averaged about $39/MWh'. https://www.caiso.com/documents/2025-annual-report-on-market-issues-and-performance.pdf</t>
  </si>
  <si>
    <t>CAISO DMM 2025 Annual Report, Figure E.2 table: California $38.32, -7% vs 2024. Same URL.</t>
  </si>
  <si>
    <t>CAISO total wholesale cost per MWh of load</t>
  </si>
  <si>
    <t>CAISO DMM 2025 Annual Report, p.4: 'Total wholesale costs for the CAISO balancing area decreased by about 6 percent to $8.45 billion, or about $42/MWh'. Same URL.</t>
  </si>
  <si>
    <t>Implied 2023 CA DA avg (back-calc from -36% YoY)</t>
  </si>
  <si>
    <t>2023</t>
  </si>
  <si>
    <t>Calc: 2024 value / (1 - 0.36). DMM 2024 Annual Report states CA prices fell 36% from 2023. Use as high-gas-price sensitivity only.</t>
  </si>
  <si>
    <t>SEC 2: QUARTERLY PRICES: seasonal shape (CAISO balancing area)</t>
  </si>
  <si>
    <t>Q1 2024 avg (DA/15-min/5-min blended)</t>
  </si>
  <si>
    <t>2024 Q1</t>
  </si>
  <si>
    <t>CAISO DMM Q1 2024 Report (Oct 11, 2024): 'average price of the three markets this quarter decreased to $43/MWh from $93/MWh in Q1 2023'. https://www.caiso.com/documents/2024-first-quarter-report-on-market-issues-and-performance-oct-11-2024.pdf</t>
  </si>
  <si>
    <t>Q2 2024 avg (15-min, WEIM-wide)</t>
  </si>
  <si>
    <t>2024 Q2</t>
  </si>
  <si>
    <t>CAISO DMM Q2 2024 Report (Nov 22, 2024): 'Prices in both the 15-minute and 5-minute markets averaged around $19/MWh, down 40% vs Q2 2023'. WEIM-wide figure; CA-specific likely ~$5-8 higher due to GHG. https://www.caiso.com/documents/2024-second-quarter-report-on-market-issues-and-performance-nov-22-2024.pdf</t>
  </si>
  <si>
    <t>Q3 2024 CAISO day-ahead avg</t>
  </si>
  <si>
    <t>2024 Q3</t>
  </si>
  <si>
    <t>CAISO DMM Q3 2024 Report (Dec 23, 2024), Sec 3.3 p.27: 'day-ahead prices averaged $48/MWh, 15-minute $47/MWh, 5-minute $40/MWh'. https://www.caiso.com/documents/2024-third-quarter-report-on-market-issues-and-performance-dec-23-2024.pdf</t>
  </si>
  <si>
    <t>Q3 2024 CA region 15-min avg</t>
  </si>
  <si>
    <t>CAISO DMM Q3 2024 Report, Figure E.1 table: California 47.5, -27% vs Q3 2023. Same URL.</t>
  </si>
  <si>
    <t>Q3 2024 July monthly DA peak-hours avg</t>
  </si>
  <si>
    <t>2024 Jul</t>
  </si>
  <si>
    <t>CAISO DMM Q3 2024 Report, Figure 3.12 table: CAISO Jul $58 / Aug $42 / Sep $40 (peak hours HE7-22). Same URL.</t>
  </si>
  <si>
    <t>Q4 2025 WEIM 15-min avg</t>
  </si>
  <si>
    <t>2025 Q4</t>
  </si>
  <si>
    <t>CAISO DMM Q4 2025 Report (Mar 30, 2026): 'Overall 15-minute market prices across WEIM averaged $36/MWh, down 7% vs Q4 2024'. https://www.caiso.com/documents/2025-fourth-quarter-report-on-market-issues-and-performance.pdf</t>
  </si>
  <si>
    <t>SEC 3: HOURLY 15-MIN MARKET PRICES: Q3 2024 (Jul–Sep), CAISO DLAPs</t>
  </si>
  <si>
    <t>Source: CAISO DMM Q3 2024 Report, Table 3.3 'Hourly 15-minute market prices (July–September)', p.26. Values are load-weighted hourly averages at PG&amp;E and SCE default load aggregation points. Same URL as SEC 2 Q3 row.</t>
  </si>
  <si>
    <t>Hour Ending</t>
  </si>
  <si>
    <t>PG&amp;E DLAP ($/MWh)</t>
  </si>
  <si>
    <t>SCE DLAP ($/MWh)</t>
  </si>
  <si>
    <t>Blend ($/MWh)</t>
  </si>
  <si>
    <t>Net-load regime</t>
  </si>
  <si>
    <t>Overnight</t>
  </si>
  <si>
    <t>Morning ramp</t>
  </si>
  <si>
    <t>Mid-day solar</t>
  </si>
  <si>
    <t>Evening ramp</t>
  </si>
  <si>
    <t>Evening peak</t>
  </si>
  <si>
    <t>Late evening</t>
  </si>
  <si>
    <t>SEC 4: GREENHOUSE GAS PRICE &amp; IMPLIED MARGINAL EMISSION RATE</t>
  </si>
  <si>
    <t>CA GHG allowance price (bilateral avg)</t>
  </si>
  <si>
    <t>$/mtCO2e</t>
  </si>
  <si>
    <t>CAISO DMM 2024 Annual Report, p.2: 'California greenhouse gas allowances averaged $38.09/mtCO2e in bilateral markets in 2024'.</t>
  </si>
  <si>
    <t>GHG cost impact on efficient gas unit</t>
  </si>
  <si>
    <t>CAISO DMM 2024 Annual Report, p.2: 'This represented an additional cost of about $16.19/MWh for a relatively efficient gas unit'.</t>
  </si>
  <si>
    <t>CAISO DMM 2025 Annual Report, p.2: 'California greenhouse gas allowance prices averaged about $29.89/mtCO2e in 2025, down 22 percent from 2024'.</t>
  </si>
  <si>
    <t>CAISO DMM 2025 Annual Report, p.2: 'representing an incremental cost of about $12.70/MWh for a relatively efficient gas unit'.</t>
  </si>
  <si>
    <t>Implied marginal emission rate (2024)</t>
  </si>
  <si>
    <t>tCO2e/MWh</t>
  </si>
  <si>
    <t>Calc: $/MWh ÷ $/mtCO2e. DMM-implied heat rate for 'relatively efficient gas unit' (CCGT). Cross-check: framework Sec 1.2 assumed 0.4–0.6 t/MWh.</t>
  </si>
  <si>
    <t>Implied marginal emission rate (2025)</t>
  </si>
  <si>
    <t>Calc: same method. Consistency across years validates the DMM heat-rate assumption.</t>
  </si>
  <si>
    <t>Marginal emission rate: model input</t>
  </si>
  <si>
    <t>avg</t>
  </si>
  <si>
    <t>Calc: average of 2024 and 2025 implied rates. Used for carbon overlay in M1_Scenarios.</t>
  </si>
  <si>
    <t>SEC 5: PRICE DISTRIBUTION CONTEXT: tail behavior</t>
  </si>
  <si>
    <t>Hours with negative DA price (SP15)</t>
  </si>
  <si>
    <t>hours/yr</t>
  </si>
  <si>
    <t>Resurety, 'Negative Prices in CAISO' (May 2025): '~1,180 hours in 2024 had below-zero prices (~13% of total hours)'. https://resurety.com/article-negative-prices-in-caiso/</t>
  </si>
  <si>
    <t>Share of hours negative</t>
  </si>
  <si>
    <t>frac</t>
  </si>
  <si>
    <t>Calc: hours / 8760</t>
  </si>
  <si>
    <t>Median negative price (SP15)</t>
  </si>
  <si>
    <t>Resurety (May 2025): 'median negative price in 2024 was ~-$17'. Same URL.</t>
  </si>
  <si>
    <t>Solar capture rate SP15</t>
  </si>
  <si>
    <t>frac of ATC</t>
  </si>
  <si>
    <t>Resurety (May 2025): 'annual solar capture rates to plummet to less than 30% in 2024' in SP15. Same URL. CRITICAL for solar config revenue assumption in Model 2.</t>
  </si>
  <si>
    <t>DA intervals with price &gt; $250/MWh</t>
  </si>
  <si>
    <t>CAISO DMM Q3 2024 Report, Sec 3.5 p.33: 'day-ahead market recorded 0.6 percent of intervals with average price exceeding $250/MWh'.</t>
  </si>
  <si>
    <t>Max DA (IFM) price observed</t>
  </si>
  <si>
    <t>2024 Sep 5</t>
  </si>
  <si>
    <t>CAISO Summer Market Performance Report Sep 2024 (Oct 31, 2024): 'IFM reached a maximum of $637/MWh on September 5'. https://www.caiso.com/documents/summer-market-performance-report-september-2024.pdf</t>
  </si>
  <si>
    <t>HE20 DA load-weighted avg (Q3 2024)</t>
  </si>
  <si>
    <t>CAISO DMM Q3 2024 Report, Sec 3.3 p.29: 'During hour-ending 20, the day-ahead load-weighted average energy price was $120/MWh'.</t>
  </si>
  <si>
    <t>Model 1: Three Load-Level Price Benchmarks (derived from DMM hourly &amp; annual statistics)</t>
  </si>
  <si>
    <t>Green = pulled from M1_Inputs. Black = formula. Yellow = headline benchmark output feeding M1_Scenarios. Hour-bin definitions are a judgment call: see M1_Notes §3.</t>
  </si>
  <si>
    <t>SEC 1: HOUR-BIN DEFINITIONS (mapping framework load percentiles → DMM hourly regime)</t>
  </si>
  <si>
    <t>Benchmark</t>
  </si>
  <si>
    <t>Framework definition</t>
  </si>
  <si>
    <t>DMM proxy (Q3 2024 Table 3.3 hours)</t>
  </si>
  <si>
    <t>Hours in bin</t>
  </si>
  <si>
    <t>Rationale</t>
  </si>
  <si>
    <t>LOW</t>
  </si>
  <si>
    <t>Bottom 20th pctile system load; spring shoulder, mild weather, high solar</t>
  </si>
  <si>
    <t>HE10–HE13 (mid-day solar trough)</t>
  </si>
  <si>
    <t>10,11,12,13</t>
  </si>
  <si>
    <t>Framework text describes high-solar hours, i.e. low NET load. Mid-day trough is the empirical minimum in DMM Table 3.3 and the regime where solar/wind projects would actually be selling. Overnight hours (HE1-7, ~$35-40) are low GROSS load but not the framework's intent.</t>
  </si>
  <si>
    <t>AVERAGE</t>
  </si>
  <si>
    <t>30th–70th pctile system load; typical demand, moderate weather</t>
  </si>
  <si>
    <t>Annual load-weighted DA average (2024 &amp; 2025)</t>
  </si>
  <si>
    <t>all 8,760</t>
  </si>
  <si>
    <t>Load-weighted annual mean already integrates the full distribution; DMM publishes this directly. Two-year average dampens single-year gas-price idiosyncrasy (2024 unusually low gas).</t>
  </si>
  <si>
    <t>HIGH</t>
  </si>
  <si>
    <t>Top 10th pctile system load; summer peak, extreme heat, evening ramp</t>
  </si>
  <si>
    <t>HE19–HE21 (evening net-load peak)</t>
  </si>
  <si>
    <t>19,20,21</t>
  </si>
  <si>
    <t>DMM Q3 2024 confirms 'prices peaked at HE20 when demand was still high but solar substantially below its peak'. Summer evening ramp is top-decile net load. Excludes extreme scarcity tail (&gt;$250, only 0.6% of Q3 intervals).</t>
  </si>
  <si>
    <t>SEC 2: LOW BENCHMARK: mid-day solar trough</t>
  </si>
  <si>
    <t>PG&amp;E DLAP, HE10–13 avg</t>
  </si>
  <si>
    <t>SCE DLAP, HE10–13 avg</t>
  </si>
  <si>
    <t>Blended (equal weight PG&amp;E/SCE)</t>
  </si>
  <si>
    <t>Cross-check: Q2 2024 WEIM 15-min avg</t>
  </si>
  <si>
    <t>Spring-shoulder quarterly avg; WEIM-wide so ~$5–8 below CA. Consistent with mid-day blend.</t>
  </si>
  <si>
    <t>Cross-check: framework prior range</t>
  </si>
  <si>
    <t>15 – 30</t>
  </si>
  <si>
    <t>Framework Sec 1.2 expected range. Blended value falls inside.</t>
  </si>
  <si>
    <t>LOW BENCHMARK (P_low)</t>
  </si>
  <si>
    <t>Rounded to nearest $1. Mid-day Q3 blend; Q3 is the season where mid-day solar depression is strongest, so this is a conservative (low) value for annual mid-day.</t>
  </si>
  <si>
    <t>SEC 3: AVERAGE BENCHMARK: annual load-weighted DA</t>
  </si>
  <si>
    <t>2024 CA DA avg</t>
  </si>
  <si>
    <t>2025 CA DA avg</t>
  </si>
  <si>
    <t>2-year average</t>
  </si>
  <si>
    <t>Cross-check: 2023 implied (high gas year)</t>
  </si>
  <si>
    <t>Excluded from base benchmark: 2023 gas prices were anomalously high (SoCal Citygate $5.12 vs $2.14 in 2024). Available as upside sensitivity.</t>
  </si>
  <si>
    <t>35 – 55</t>
  </si>
  <si>
    <t>Framework Sec 1.2. 2-yr average falls inside.</t>
  </si>
  <si>
    <t>AVERAGE BENCHMARK (P_avg)</t>
  </si>
  <si>
    <t>Rounded to nearest $1.</t>
  </si>
  <si>
    <t>SEC 4: HIGH BENCHMARK: summer evening net-load peak</t>
  </si>
  <si>
    <t>PG&amp;E DLAP, HE19–21 avg</t>
  </si>
  <si>
    <t>SCE DLAP, HE19–21 avg</t>
  </si>
  <si>
    <t>Cross-check: HE20 DA load-weighted (Q3 2024)</t>
  </si>
  <si>
    <t>Single peak hour; DA slightly above 15-min in this hour. Blend of HE19-21 is the fairer top-decile representation.</t>
  </si>
  <si>
    <t>60 – 120</t>
  </si>
  <si>
    <t>Framework Sec 1.2. Blended value falls inside.</t>
  </si>
  <si>
    <t>HIGH BENCHMARK (P_high)</t>
  </si>
  <si>
    <t>Rounded to nearest $1. Q3-only; represents the summer regime where top-decile load occurs.</t>
  </si>
  <si>
    <t>SEC 5: SUMMARY: three base benchmarks (feed M1_Scenarios)</t>
  </si>
  <si>
    <t>vs. P_avg</t>
  </si>
  <si>
    <t>Framework range</t>
  </si>
  <si>
    <t>Inside range?</t>
  </si>
  <si>
    <t>P_low</t>
  </si>
  <si>
    <t>$15–$30</t>
  </si>
  <si>
    <t>P_avg</t>
  </si>
  <si>
    <t>$35–$55</t>
  </si>
  <si>
    <t>P_high</t>
  </si>
  <si>
    <t>$60–$120</t>
  </si>
  <si>
    <t>Model 1: Nine Price Scenarios (3 load levels × 3 carbon prices) + PPA Bridge</t>
  </si>
  <si>
    <t>This is the Stage 1 output. Carbon adders are INCREMENTAL to the CA cap-and-trade cost already embedded in observed prices (framework Sec 1.2: '$0/ton = status quo').</t>
  </si>
  <si>
    <t>SEC 1: CARBON OVERLAY PARAMETERS</t>
  </si>
  <si>
    <t>Marginal emission rate (DMM-implied, efficient CCGT)</t>
  </si>
  <si>
    <t>From M1_Inputs SEC 4. Framework assumed 0.4–0.6; DMM data pins it at the low end (efficient CCGT sets the margin).</t>
  </si>
  <si>
    <t>Already-embedded CA carbon cost (2025 avg)</t>
  </si>
  <si>
    <t>$/tCO2e</t>
  </si>
  <si>
    <t>Context only: observed prices already include this. Scenario adders stack on top.</t>
  </si>
  <si>
    <t>Carbon scenario</t>
  </si>
  <si>
    <t>Incremental $/tCO2e</t>
  </si>
  <si>
    <t>Adder $/MWh</t>
  </si>
  <si>
    <t>Framework rationale</t>
  </si>
  <si>
    <t>C0: status quo</t>
  </si>
  <si>
    <t>Current CA cap-and-trade only (already in observed prices)</t>
  </si>
  <si>
    <t>C30: moderate</t>
  </si>
  <si>
    <t>Framework Sec 1.2: cap-and-trade escalation or federal carbon tax</t>
  </si>
  <si>
    <t>C60: aggressive</t>
  </si>
  <si>
    <t>Framework Sec 1.2: aggressive decarbonization / high SCC</t>
  </si>
  <si>
    <t>SEC 2: NINE-SCENARIO PRICE MATRIX ($/MWh): STAGE 1 OUTPUT</t>
  </si>
  <si>
    <t>Load level ↓  /  Carbon →</t>
  </si>
  <si>
    <t>LOW (mid-day solar trough)</t>
  </si>
  <si>
    <t>AVERAGE (annual load-wtd)</t>
  </si>
  <si>
    <t>HIGH (evening net-load peak)</t>
  </si>
  <si>
    <t>Scenario naming for Model 2/3/4 runs: {L,A,H} × {C0,C30,C60} → e.g. 'A-C0' = average load, status-quo carbon = base case.</t>
  </si>
  <si>
    <t>SEC 3: SPOT-TO-PPA BRIDGE: how Model 1 connects to the $72/MWh already in Model 2</t>
  </si>
  <si>
    <t>Model 2 v7 uses a $72/MWh hybrid (solar+storage) PPA price sourced from LBNL Utility-Scale Solar. A PPA is a 15–20 yr fixed-price forward contract; spot DA prices are the annual realized average. The two are not the same quantity. This block reconciles them so the paper can state the relationship explicitly.</t>
  </si>
  <si>
    <t>Model 2 grid PPA price (LBNL hybrid PPA)</t>
  </si>
  <si>
    <t>Cross-sheet link to Model 2 Inputs. LBNL Utility-Scale Solar 2024 Ed., solar+storage PPA levels. https://emp.lbl.gov/utility-scale-solar</t>
  </si>
  <si>
    <t>P_avg spot benchmark (this model)</t>
  </si>
  <si>
    <t>Implied PPA premium over spot</t>
  </si>
  <si>
    <t>Implied PPA premium (%)</t>
  </si>
  <si>
    <t>Premium reflects: (a) 15-20yr price certainty, (b) storage capacity value in a hybrid PPA, (c) RA attributes bundled with energy, (d) counterparty credit. Not a contradiction: a PPA above spot is the normal market structure.</t>
  </si>
  <si>
    <t>Which price feeds Model 2 grid revenue?</t>
  </si>
  <si>
    <t xml:space="preserve"> Option A: keep $72 PPA (current v7)</t>
  </si>
  <si>
    <t>Post-COD revenue assumes developer signs a contracted PPA. Consistent with how utility-scale projects are actually financed (lenders require contracted revenue). RECOMMENDED for base case.</t>
  </si>
  <si>
    <t xml:space="preserve"> Option B: merchant at P_avg</t>
  </si>
  <si>
    <t>Post-COD revenue assumes merchant exposure to spot. Lower revenue, higher risk. Use as downside sensitivity: this is the 'no PPA available' case.</t>
  </si>
  <si>
    <t xml:space="preserve"> Option C: merchant at P_high (peak-shaped)</t>
  </si>
  <si>
    <t>Only valid for dispatchable output (BESS discharge or geothermal) that can target evening peak. Not applicable to as-generated solar.</t>
  </si>
  <si>
    <t>SEC 4: SOLAR CAPTURE RATE: material caveat for Solar+BESS configuration</t>
  </si>
  <si>
    <t>SP15 solar capture rate (2024)</t>
  </si>
  <si>
    <t>Solar-weighted realized spot (P_avg × capture)</t>
  </si>
  <si>
    <t>If a solar project sold merchant with no storage, its generation-weighted price would be roughly this. This is why Model 2 solar baseline IRR is weak and why BESS is structurally required: it shifts output from P_low hours toward P_high hours.</t>
  </si>
  <si>
    <t>Model 1: Methodology Notes and Deviation from Original Stage 1 Specification</t>
  </si>
  <si>
    <t>§1  What the proposal specified</t>
  </si>
  <si>
    <t>Revised Proposal (May 2026), Stage 1: download CAISO OASIS day-ahead hourly LMP for 2023–2025 at TH_SP15/TH_NP15, bin each hour by concurrent system load percentile (bottom 20% / 30–70% / top 10%), compute load-weighted average LMP per bin, then overlay three carbon prices. Output: 9 benchmark prices.</t>
  </si>
  <si>
    <t>§2  What was actually done, and why</t>
  </si>
  <si>
    <t>Benchmarks are constructed from CAISO Department of Market Monitoring (DMM) published statistics: the 2024 and 2025 Annual Reports and the 2024 Q1–Q3 and 2025 Q4 quarterly reports: rather than from raw OASIS hourly downloads. Reasons: (a) DMM figures are official, load-weighted, and independently computed by CAISO's market monitor, which is a stronger provenance for a citable benchmark than a student-processed OASIS extract; (b) DMM publishes exactly the aggregates the framework needs (annual load-weighted DA mean, hourly load-weighted 15-min profile, GHG cost per MWh); (c) raw OASIS processing was deferred to preserve time for Models 2–4, which are the analytical core. The raw-OASIS path remains available as a robustness check (see §6).</t>
  </si>
  <si>
    <t>§3  Binning: load percentile vs. hour-of-day proxy</t>
  </si>
  <si>
    <t>The framework bins by system-load percentile. DMM does not publish load-percentile-binned prices, so this model uses hour-of-day regimes from DMM Q3 2024 Table 3.3 as the proxy. The framework's own descriptions: LOW = 'spring shoulder, high solar output hours'; HIGH = 'summer peak, evening ramp': are net-load concepts, and net load in CAISO is a function of hour-of-day far more than of gross load. Mid-day solar trough (HE10–13) is the empirical minimum in the DMM table; evening ramp (HE19–21) is the empirical maximum. The mapping is therefore faithful to the framework's economic intent, but it is a judgment call and should be stated as such in the paper.</t>
  </si>
  <si>
    <t>§4  Known limitations</t>
  </si>
  <si>
    <t>(a) Hourly profile is Q3 2024 only. Q3 has the deepest mid-day depression and the highest evening peak, so P_low is a conservative low and P_high is a conservative high relative to a full-year hourly average. P_avg is unaffected (annual figure). (b) 15-minute market hourly averages are used for the hourly profile because DMM publishes that table; DA and 15-min converge on average (DMM Q3 2024 §3.3: 'typically tend to converge on average due to convergence bidding'), so the substitution is minor. (c) PG&amp;E and SCE DLAPs are blended equally; a project-specific run should weight by actual node (Salton Sea geothermal and Tehachapi wind are SP15/SCE-side; solar 'various'). (d) 2023 is excluded from P_avg because DMM documents 2023 as a gas-price anomaly (SoCal Citygate $5.12 vs $2.14/MMBtu); it is retained as an explicit high-price sensitivity.</t>
  </si>
  <si>
    <t>§5  Carbon overlay</t>
  </si>
  <si>
    <t>Adders are computed as incremental $/tCO2e × marginal emission rate. The emission rate (0.425 tCO2e/MWh) is not assumed: it is back-calculated from DMM's own statement of the GHG cost impact on 'a relatively efficient gas unit' in both 2024 ($16.19/MWh ÷ $38.09/t) and 2025 ($12.70/MWh ÷ $29.89/t), which agree to three decimals. This pins the framework's 0.4–0.6 range to its lower bound. Adders are incremental to the CA cap-and-trade cost already embedded in observed prices; the C0 scenario is the observed price, not a carbon-free counterfactual.</t>
  </si>
  <si>
    <t>§6  Path to full OASIS replication (if time permits)</t>
  </si>
  <si>
    <t>Use the gridstatus Python library: caiso.get_lmp(start='2023-01-01', end='2025-12-31', market='DAY_AHEAD_HOURLY', locations=['TH_SP15_GEN-APND','TH_NP15_GEN-APND']) and caiso.get_load(...). Merge on timestamp, compute load percentile per hour, groupby bin, load-weighted mean. Expected result: P_low and P_high move modestly toward P_avg (full-year vs Q3-only); P_avg unchanged. If replicated, report both and use OASIS as primary with DMM as the published-source cross-check.</t>
  </si>
  <si>
    <t>§7  How Model 1 feeds the other models</t>
  </si>
  <si>
    <t>→ Model 2 (DCF): the grid PPA price stays at $72/MWh (LBNL contracted hybrid PPA) for the base case; P_avg and P_high are sensitivity inputs for merchant-exposure cases. See M1_Scenarios SEC 3 for the reconciliation. → Model 3 (DC cost): Structure B 'PPA energy price' placeholder ($70) can be replaced by the Model 2 PPA link; P_avg is the VPPA settlement reference. → Model 4 (BTM pricing): P_avg + T&amp;D stack (from Model 3 Structure B) forms the grid-alternative ceiling; the carbon scenarios shift the ceiling upward, widening the negotiation zone.</t>
  </si>
  <si>
    <t>SPUR Preliminary Co-location Model v7: per-configuration tabs</t>
  </si>
  <si>
    <t>Three yellow levers apply to ALL configurations simultaneously (keeps cross-config comparison consistent). Blue = editable. $ in millions.</t>
  </si>
  <si>
    <t>SCENARIO LEVERS (GLOBAL)</t>
  </si>
  <si>
    <t>Queue wait (mech. completion -&gt; COD), years</t>
  </si>
  <si>
    <t>Test 2/4/6/8 (LBNL Queued Up 2025: https://emp.lbl.gov/queues)</t>
  </si>
  <si>
    <t>ITC rate</t>
  </si>
  <si>
    <t>0% = OBBBA Scenario D (zero credit under EITHER credit type); 30% = full rate w/ PWA</t>
  </si>
  <si>
    <t>Credit type (1=ITC, 2=PTC)</t>
  </si>
  <si>
    <t>Framework 2.3.5: run both; PTC uses full depreciable basis</t>
  </si>
  <si>
    <t>SHARED PARAMETERS</t>
  </si>
  <si>
    <t>PTC rate ($/MWh, full rate w/ PWA)</t>
  </si>
  <si>
    <t>$0.015/kWh, 10-yr duration (Framework 2.3.4; inflation adjustment omitted)</t>
  </si>
  <si>
    <t>BESS delivery loss (RTE approx.)</t>
  </si>
  <si>
    <t>Annual approximation of round-trip losses</t>
  </si>
  <si>
    <t>Debt interest rate</t>
  </si>
  <si>
    <t>Framework 2.3.1: 5-7% range</t>
  </si>
  <si>
    <t>Debt tenor (years)</t>
  </si>
  <si>
    <t>Framework 2.3.1</t>
  </si>
  <si>
    <t>Target DSCR (debt sizing)</t>
  </si>
  <si>
    <t>Framework 2.7</t>
  </si>
  <si>
    <t>Max leverage (% of total capital)</t>
  </si>
  <si>
    <t>Framework 2.3.1: 50-55%; binds when DSCR-sized debt exceeds it (wind, geothermal)</t>
  </si>
  <si>
    <t>Combined tax rate (fed + CA)</t>
  </si>
  <si>
    <t>21% federal + 8.84% CA</t>
  </si>
  <si>
    <t>Tax equity pay rate (per $ benefit PV)</t>
  </si>
  <si>
    <t>TE pays ~80c per $1 PV of ITC + PTC + MACRS shield</t>
  </si>
  <si>
    <t>MACRS PV discount rate</t>
  </si>
  <si>
    <t>Assumption</t>
  </si>
  <si>
    <t>Grid hybrid PPA price ($/MWh)</t>
  </si>
  <si>
    <t>LBNL Utility-Scale Solar (hybrid PPA levels): https://emp.lbl.gov/utility-scale-solar</t>
  </si>
  <si>
    <t>BTM PPA price ($/MWh)</t>
  </si>
  <si>
    <t>~17% discount, within 10-20% industry range (Framework 4.3)</t>
  </si>
  <si>
    <t>Asset management (% of revenue)</t>
  </si>
  <si>
    <t>Framework 2.6</t>
  </si>
  <si>
    <t>Construction years</t>
  </si>
  <si>
    <t>Framework 2.1</t>
  </si>
  <si>
    <t>Flip year (calendar)</t>
  </si>
  <si>
    <t>Framework 2.8.2 default; 2.8.4 illustrative table uses 7: testable</t>
  </si>
  <si>
    <t>Buyout at flip ($mm)</t>
  </si>
  <si>
    <t>Nominal</t>
  </si>
  <si>
    <t>NPV discount rate</t>
  </si>
  <si>
    <t>Framework 2.9.3: 8% WACC</t>
  </si>
  <si>
    <t>Developer cash share, pre-flip</t>
  </si>
  <si>
    <t>Framework 2.8.2</t>
  </si>
  <si>
    <t>Developer cash share, post-flip</t>
  </si>
  <si>
    <t>BTM price source (1 = global B19, 2 = Model 4 per-config)</t>
  </si>
  <si>
    <t>Set 1 to reproduce v7 results at flat $60. Set 2 to close the M4 to M2 loop.</t>
  </si>
  <si>
    <t>Configuration library: each parameter feeds its configuration's tabs directly</t>
  </si>
  <si>
    <t>Solar+BESS 100MW</t>
  </si>
  <si>
    <t>Wind+BESS 150MW</t>
  </si>
  <si>
    <t>Geothermal+BESS 100MW</t>
  </si>
  <si>
    <t>Source / note</t>
  </si>
  <si>
    <t>Capacity (MW)</t>
  </si>
  <si>
    <t>Solar/Geothermal: Framework 2.2.1. Wind: 150 MW scale variant (user-specified)</t>
  </si>
  <si>
    <t>Capacity factor</t>
  </si>
  <si>
    <t>Solar: CA midpoint. Wind: upper Tehachapi 30-35%. Geothermal: 90%+ Salton Sea/Imperial Valley (NREL ATB 2024: https://atb.nrel.gov/electricity/2024/technologies)</t>
  </si>
  <si>
    <t>Annual degradation</t>
  </si>
  <si>
    <t>Framework 2.5.2 (geothermal ~0%)</t>
  </si>
  <si>
    <t>Availability</t>
  </si>
  <si>
    <t>Framework 2.5.2</t>
  </si>
  <si>
    <t>Electrical losses</t>
  </si>
  <si>
    <t>Total CAPEX ($mm)</t>
  </si>
  <si>
    <t>Solar: Framework 2.2.3. Wind: $1,350/kW x150 + BESS 75MW/300MWh @$1,250/kW + dev 4% + land + intercon. Geothermal: $5,000/kW x100 + BESS 25MW/50MWh + dev 4% + land + intercon (NREL ATB 2024 midpoints)</t>
  </si>
  <si>
    <t>Qualified investment ($mm)</t>
  </si>
  <si>
    <t>Generation + BESS only (Framework 2.2.4)</t>
  </si>
  <si>
    <t>Microgrid CAPEX ($mm)</t>
  </si>
  <si>
    <t>$120/kW midpoint of $50-150/kW x capacity</t>
  </si>
  <si>
    <t>Fixed O&amp;M, gen + BESS ($mm/yr)</t>
  </si>
  <si>
    <t>Framework 2.6 midpoints per configuration</t>
  </si>
  <si>
    <t>Land lease + insurance ($mm/yr)</t>
  </si>
  <si>
    <t>$0.3mm land + 0.4% of CAPEX insurance</t>
  </si>
  <si>
    <t>Microgrid O&amp;M ($mm/yr)</t>
  </si>
  <si>
    <t>$7.5/kW-yr x capacity</t>
  </si>
  <si>
    <t>Operating life (years)</t>
  </si>
  <si>
    <t>Framework 2.1: 25 yrs solar/wind, 30 yrs geothermal</t>
  </si>
  <si>
    <t>BTM PPA price, effective ($/MWh)</t>
  </si>
  <si>
    <t>Switch on Inputs!B27. Source 2 pulls the Model 4 selected price (M4_Pricing SEC 3), which depends on the method selector and alpha lever there. Feeds the queue-wait revenue in each Coloc tab.</t>
  </si>
  <si>
    <t>BTM PPA price at v7 default ($/MWh)</t>
  </si>
  <si>
    <t>Reference: the flat $60 the v7 sweep tables in Results were generated with.</t>
  </si>
  <si>
    <t>Notes: (1) Model finds ITC &gt; PTC for all three configurations at these parameters: for geothermal this contradicts Framework 2.3.5's</t>
  </si>
  <si>
    <t>expectation; sensitive to the omitted PTC inflation adjustment and the 7% discount on the PTC stream. (2) Geothermal faces no near-term</t>
  </si>
  <si>
    <t>OBBBA deadline (phaseout from 2034), so the 0% ITC scenario is a stress test rather than a live policy risk for that configuration.</t>
  </si>
  <si>
    <t>Capitalization: debt = MIN(DSCR-sized, max leverage x capital); tax equity sized to ITC/PTC + MACRS shield</t>
  </si>
  <si>
    <t>Solar Base</t>
  </si>
  <si>
    <t>Solar Coloc</t>
  </si>
  <si>
    <t>Wind Base</t>
  </si>
  <si>
    <t>Wind Coloc</t>
  </si>
  <si>
    <t>Geo Base</t>
  </si>
  <si>
    <t>Geo Coloc</t>
  </si>
  <si>
    <t>Total capital required ($mm)</t>
  </si>
  <si>
    <t>First grid-year net energy (MWh)</t>
  </si>
  <si>
    <t>First grid-year revenue ($mm)</t>
  </si>
  <si>
    <t>First grid-year OPEX ($mm)</t>
  </si>
  <si>
    <t>First grid-year EBITDA ($mm)</t>
  </si>
  <si>
    <t>Max debt service @ DSCR ($mm/yr)</t>
  </si>
  <si>
    <t>DSCR-sized debt ($mm)</t>
  </si>
  <si>
    <t>Senior debt after leverage cap ($mm)</t>
  </si>
  <si>
    <t>Actual debt service ($mm/yr)</t>
  </si>
  <si>
    <t>ITC amount ($mm)</t>
  </si>
  <si>
    <t>PTC start year (calendar)</t>
  </si>
  <si>
    <t>PTC stream PV ($mm)</t>
  </si>
  <si>
    <t>Depreciable basis ($mm)</t>
  </si>
  <si>
    <t>MACRS shield PV ($mm)</t>
  </si>
  <si>
    <t>Tax equity contribution ($mm)</t>
  </si>
  <si>
    <t>Developer equity ($mm)</t>
  </si>
  <si>
    <t>PTC start assumption: baseline is not placed in service while idle (PTC begins at COD); co-location BTM operation is assumed</t>
  </si>
  <si>
    <t>to qualify as placed in service (PTC begins at mechanical completion). Open tax question: validate in practitioner interviews.</t>
  </si>
  <si>
    <t>MACRS 5-yr schedule (Framework 2.3.3)</t>
  </si>
  <si>
    <t>Year 1</t>
  </si>
  <si>
    <t>Year 2</t>
  </si>
  <si>
    <t>Year 3</t>
  </si>
  <si>
    <t>Year 4</t>
  </si>
  <si>
    <t>Year 5</t>
  </si>
  <si>
    <t>Year 6</t>
  </si>
  <si>
    <t>SolarBase: annual cash flow waterfall ($mm)</t>
  </si>
  <si>
    <t>Developer levered IRR:</t>
  </si>
  <si>
    <t>Unlevered (project) IRR:</t>
  </si>
  <si>
    <t>NPV of dev cash @ discount rate ($mm):</t>
  </si>
  <si>
    <t>Phase</t>
  </si>
  <si>
    <t>Op yr</t>
  </si>
  <si>
    <t>Net energy (MWh)</t>
  </si>
  <si>
    <t>Revenue</t>
  </si>
  <si>
    <t>OPEX</t>
  </si>
  <si>
    <t>EBITDA</t>
  </si>
  <si>
    <t>Debt service</t>
  </si>
  <si>
    <t>Distributable cash</t>
  </si>
  <si>
    <t>Dev share</t>
  </si>
  <si>
    <t>Dev cash flow</t>
  </si>
  <si>
    <t>DSCR</t>
  </si>
  <si>
    <t>Project CF (unlevered)</t>
  </si>
  <si>
    <t>SolarColoc: annual cash flow waterfall ($mm)</t>
  </si>
  <si>
    <t>WindBase: annual cash flow waterfall ($mm)</t>
  </si>
  <si>
    <t>WindColoc: annual cash flow waterfall ($mm)</t>
  </si>
  <si>
    <t>GeoBase: annual cash flow waterfall ($mm)</t>
  </si>
  <si>
    <t>GeoColoc: annual cash flow waterfall ($mm)</t>
  </si>
  <si>
    <t>Results: all three configurations side by side (live; global levers on Inputs)</t>
  </si>
  <si>
    <t>Baseline developer levered IRR</t>
  </si>
  <si>
    <t>Co-location developer levered IRR</t>
  </si>
  <si>
    <t>Delta IRR (co-location - baseline), pp</t>
  </si>
  <si>
    <t>Baseline unlevered (project) IRR</t>
  </si>
  <si>
    <t>Co-location unlevered (project) IRR</t>
  </si>
  <si>
    <t>Baseline NPV of dev cash ($mm)</t>
  </si>
  <si>
    <t>Co-location NPV of dev cash ($mm)</t>
  </si>
  <si>
    <t>VALUE BRIDGE: dollar impact of co-location over the queue-wait window (live)</t>
  </si>
  <si>
    <t>Queue-wait revenue uplift, total ($mm)</t>
  </si>
  <si>
    <t>Queue-wait revenue uplift, per year ($mm/yr)</t>
  </si>
  <si>
    <t>Queue-wait EBITDA uplift, total ($mm)</t>
  </si>
  <si>
    <t>Queue-wait developer cash uplift, total ($mm)</t>
  </si>
  <si>
    <t>vs. Microgrid CAPEX ($mm)</t>
  </si>
  <si>
    <t>vs. Incremental developer equity ($mm)</t>
  </si>
  <si>
    <t>Delta NPV of developer cash ($mm)</t>
  </si>
  <si>
    <t>Scenario sweep: Solar+BESS 100MW (ITC pathway, flip yr 6; reproduce via Inputs levers)</t>
  </si>
  <si>
    <t>ITC</t>
  </si>
  <si>
    <t>Queue (yrs)</t>
  </si>
  <si>
    <t>Baseline IRR</t>
  </si>
  <si>
    <t>Co-location IRR</t>
  </si>
  <si>
    <t>Delta (pp)</t>
  </si>
  <si>
    <t>Scenario sweep: Wind+BESS 150MW (ITC pathway, flip yr 6; reproduce via Inputs levers)</t>
  </si>
  <si>
    <t>Scenario sweep: Geothermal+BESS 100MW (ITC pathway, flip yr 6; reproduce via Inputs levers)</t>
  </si>
  <si>
    <t>Takeaways: Q* ~3.5 yrs (solar), ~2.2 yrs (wind), &lt;2 yrs (geothermal, 30% ITC). Delta IRR rises with capacity factor: geothermal shows the</t>
  </si>
  <si>
    <t>LARGEST improvement (+4.4 to +10.7pp), contradicting H1's expectation of the smallest: the delta is driven by energy monetized per queue</t>
  </si>
  <si>
    <t>year, not by baseline IRR level. ITC beats PTC for all three configs at these parameters (PTC inflation adjustment omitted: caveat).</t>
  </si>
  <si>
    <t>M4 LOOP CLOSURE: co-location IRR at flat $60 (v7 sweep) vs at Model 4 per-config BTM</t>
  </si>
  <si>
    <t>Effective BTM price now in use ($/MWh)</t>
  </si>
  <si>
    <t>Co-location levered IRR at flat $60 (from v7 sweep, 4yr/30%)</t>
  </si>
  <si>
    <t>Co-location levered IRR, live at effective BTM</t>
  </si>
  <si>
    <t>IRR change from closing the loop, pp</t>
  </si>
  <si>
    <t>Comparison valid only when Inputs!B5 = 4 and B6 = 0.30 (the sweep cell used). Baseline IRR is unaffected by BTM price.</t>
  </si>
  <si>
    <t>Model 3 - Data Center Electricity Cost Model - INPUTS</t>
  </si>
  <si>
    <t>Blue = hardcoded input. Yellow = PLACEHOLDER pending sourced data. Column D = source.</t>
  </si>
  <si>
    <t>SEC 1: DATA CENTER LOAD</t>
  </si>
  <si>
    <t>DC nameplate load</t>
  </si>
  <si>
    <t>MW</t>
  </si>
  <si>
    <t>Scenario setting (user; central case of 50/100/200 MW matrix)</t>
  </si>
  <si>
    <t>DC load factor</t>
  </si>
  <si>
    <t>PLACEHOLDER - AI DC annualized utilization; to be sourced (lit. / Chien interview). Typical claim 85-95%.</t>
  </si>
  <si>
    <t>Hours per year</t>
  </si>
  <si>
    <t>hrs</t>
  </si>
  <si>
    <t>Constant</t>
  </si>
  <si>
    <t>Annual DC demand</t>
  </si>
  <si>
    <t>MWh/yr</t>
  </si>
  <si>
    <t>Calc: nameplate x LF x 8760</t>
  </si>
  <si>
    <t>SEC 2: GENERATION SUPPLY (from Model 2 configs)</t>
  </si>
  <si>
    <t>Solar net capacity factor</t>
  </si>
  <si>
    <t>PLACEHOLDER - Model 2 SolarBase net of degradation/availability/losses (gross CF 25-30%, NREL ATB 2024, https://atb.nrel.gov/electricity/2024/technologies)</t>
  </si>
  <si>
    <t>Wind net capacity factor</t>
  </si>
  <si>
    <t>PLACEHOLDER - Model 2 WindBase net (gross 30-35%, NREL ATB 2024)</t>
  </si>
  <si>
    <t>Geothermal net capacity factor</t>
  </si>
  <si>
    <t>PLACEHOLDER - Model 2 GeoBase net (gross 90%+, NREL ATB 2024)</t>
  </si>
  <si>
    <t>Solar capacity</t>
  </si>
  <si>
    <t>Model 2 configuration</t>
  </si>
  <si>
    <t>Wind capacity</t>
  </si>
  <si>
    <t>Geothermal capacity</t>
  </si>
  <si>
    <t>BESS round-trip efficiency</t>
  </si>
  <si>
    <t>Framework Sec 2.5.3 (85-90%); applied to shifted energy share - simplified: coverage treated as energy-balance bound, hourly dispatch pending</t>
  </si>
  <si>
    <t>SEC 3: PRICES - SOURCED</t>
  </si>
  <si>
    <t>CAISO HV Transmission Access Charge (TAC)</t>
  </si>
  <si>
    <t>CAISO, High Voltage Access Charge Rates effective Jan 1 2026, https://www.caiso.com/documents/high-voltage-access-charge-rates-effective-jan-01-2026.pdf</t>
  </si>
  <si>
    <t>RA capacity price (system, wtd avg)</t>
  </si>
  <si>
    <t>$/kW-mo</t>
  </si>
  <si>
    <t>CPUC, 2025 LCR-RCM calculation (Q1-Q4 2024 contracts, 2025-26 delivery), https://www.cpuc.ca.gov/-/media/cpuc-website/divisions/energy-division/documents/resource-adequacy-homepage/resource-adequacy-compliance-materials/lcr-rcm-2025.pdf</t>
  </si>
  <si>
    <t>Planning reserve margin (PRM)</t>
  </si>
  <si>
    <t>CPUC D.25-06-048 (June 2025), Slice-of-Day framework, https://www.cpuc.ca.gov/-/media/cpuc-website/divisions/energy-division/documents/resource-adequacy-homepage/oga-fact-sheet-on-track-3-decision-final.pdf</t>
  </si>
  <si>
    <t>Utility bundled all-in rate (Structure A)</t>
  </si>
  <si>
    <t>PG&amp;E Schedule B-20 Primary, total electricity cost $0.23691/kWh, rates as of Mar 1 2026, PG&amp;E-3CE Joint Rate Comparison, https://www.pge.com/assets/pge/docs/account/alternate-energy-providers/3ce-rcc.pdf. Note: transmission-voltage (B-20 T) would be somewhat lower; treat as upper reference.</t>
  </si>
  <si>
    <t>EIA-861 CA industrial avg (cross-check)</t>
  </si>
  <si>
    <t>EIA-861 2024, California industrial average retail price (prior extraction; re-verify at https://www.eia.gov/electricity/data/eia861/)</t>
  </si>
  <si>
    <t>Non-bypassable charges (NBC: PCIA/PPP/ND/wildfire)</t>
  </si>
  <si>
    <t>PLACEHOLDER - anchored to PG&amp;E PCIA/FF line ~$0.023/kWh in PG&amp;E joint rate comparisons (see B-20 rows, same PG&amp;E PDFs); decompose properly from PG&amp;E/SCE tariff sheets</t>
  </si>
  <si>
    <t>SEC 4: PRICES - PLACEHOLDERS (pending Model 1 / Model 4)</t>
  </si>
  <si>
    <t>Grid PPA energy price (Structure B)</t>
  </si>
  <si>
    <t>PLACEHOLDER - market comparable needed (LevelTen CAISO index or similar); do NOT reuse project LCOE (circularity)</t>
  </si>
  <si>
    <t>BTM PPA price (Structure C)</t>
  </si>
  <si>
    <t>PLACEHOLDER - Model 4 output pending; currently midpoint assumption from Model 2</t>
  </si>
  <si>
    <t>Ancillary services + CAISO GMC</t>
  </si>
  <si>
    <t>PLACEHOLDER - CAISO GMC ~$0.4-0.5 + AS; source from CAISO market charges schedule</t>
  </si>
  <si>
    <t>Scheduling coordinator fee</t>
  </si>
  <si>
    <t>PLACEHOLDER</t>
  </si>
  <si>
    <t>Shaping / imbalance cost</t>
  </si>
  <si>
    <t>PLACEHOLDER - as-generated renewable vs flat load mismatch; source from hourly dispatch model when built</t>
  </si>
  <si>
    <t>Microgrid service fee (paid by DC)</t>
  </si>
  <si>
    <t>Framework Sec 3.2 range $2-5/MWh. ALLOCATION ASSUMPTION: microgrid CAPEX sits in Model 2 project CAPEX; DC pays service fee only - no double count</t>
  </si>
  <si>
    <t>Backup power cost (diesel, Phase 1)</t>
  </si>
  <si>
    <t>PLACEHOLDER - CA diesel gen fuel+O&amp;M+permits; source needed (e.g., Lazard LCOE+ gas peaking as proxy, CARB permit constraints)</t>
  </si>
  <si>
    <t>Standby charge (Phase 2, grid backup)</t>
  </si>
  <si>
    <t>PLACEHOLDER - CPUC standby/departing-load tariff (e.g., PG&amp;E Schedule S); convert $/kW-mo to $/MWh once sourced</t>
  </si>
  <si>
    <t>Energy-Balance Coverage by Configuration</t>
  </si>
  <si>
    <t>Coverage = min(1, annual net generation / annual DC demand). Energy-balance upper bound: BESS shifts timing but cannot create energy. Hourly dispatch (pending) will only lower these.</t>
  </si>
  <si>
    <t>Solar+BESS</t>
  </si>
  <si>
    <t>Wind+BESS</t>
  </si>
  <si>
    <t>Geo+BESS</t>
  </si>
  <si>
    <t>Net capacity factor</t>
  </si>
  <si>
    <t>Annual net generation (MWh)</t>
  </si>
  <si>
    <t>Annual DC demand (MWh)</t>
  </si>
  <si>
    <t>Coverage ratio (capped at 100%)</t>
  </si>
  <si>
    <t>Uncovered share (backup/grid)</t>
  </si>
  <si>
    <t>Structure A: Utility Tariff (bundled, all-in)</t>
  </si>
  <si>
    <t>All-in delivered cost ($/MWh)</t>
  </si>
  <si>
    <t>PG&amp;E B-20 Primary, Mar 2026. Upper reference; transmission voltage would be lower.</t>
  </si>
  <si>
    <t>Cross-check: EIA-861 CA industrial avg</t>
  </si>
  <si>
    <t>Structure B: Sleeved Grid PPA (all-in delivered)</t>
  </si>
  <si>
    <t>VPPA treated as sensitivity (see note row 20). Sleeved = physical delivery via grid at transmission voltage.</t>
  </si>
  <si>
    <t>PPA energy price</t>
  </si>
  <si>
    <t>Placeholder pending market comp</t>
  </si>
  <si>
    <t>CAISO TAC (HV)</t>
  </si>
  <si>
    <t>Sourced - CAISO Jan 2026</t>
  </si>
  <si>
    <t>Non-bypassable charges</t>
  </si>
  <si>
    <t>Placeholder range</t>
  </si>
  <si>
    <t>Resource Adequacy</t>
  </si>
  <si>
    <t>Calc: nameplate kW x (1+PRM) x $/kW-mo x 12 / annual MWh. Price and PRM sourced.</t>
  </si>
  <si>
    <t>Ancillary + GMC</t>
  </si>
  <si>
    <t>Placeholder</t>
  </si>
  <si>
    <t>Scheduling coordinator</t>
  </si>
  <si>
    <t>Shaping / imbalance</t>
  </si>
  <si>
    <t>Structure B all-in ($/MWh)</t>
  </si>
  <si>
    <t>KEY FINDING</t>
  </si>
  <si>
    <t>RA capacity cost alone adds ~$45/MWh to a flat 100 MW load. Structure B all-in far exceeds the framework's $60-90/MWh estimate, resolving the Model 3 internal inconsistency in the direction of a WIDER negotiation zone.</t>
  </si>
  <si>
    <t>VPPA sensitivity: VPPA cost = Structure A retail cost + (PPA price - hub LMP settlement). Requires Model 1 LMP; deferred.</t>
  </si>
  <si>
    <t>Structure C: BTM Co-location (all-in $/MWh to the DC)</t>
  </si>
  <si>
    <t>Phase 1 = islanded (queue wait): backup fills uncovered share. Phase 2 = grid-connected: grid supply fills uncovered share.</t>
  </si>
  <si>
    <t>Coverage ratio</t>
  </si>
  <si>
    <t>PHASE 1 (islanded, queue-wait window)</t>
  </si>
  <si>
    <t>BTM energy component</t>
  </si>
  <si>
    <t>Backup component (uncovered x diesel)</t>
  </si>
  <si>
    <t>Microgrid service fee</t>
  </si>
  <si>
    <t>Phase 1 all-in ($/MWh)</t>
  </si>
  <si>
    <t>PHASE 2 (grid-connected, post-COD)</t>
  </si>
  <si>
    <t>Grid supplemental (uncovered x [PPA+TAC+NBC])</t>
  </si>
  <si>
    <t>Standby charge</t>
  </si>
  <si>
    <t>Phase 2 all-in ($/MWh)</t>
  </si>
  <si>
    <t>Note: Phase 2 grid supplemental assumes RA embedded in supplemental supply price is NOT separately charged (conservative low); alternative adds pro-rata RA - test in sensitivity.</t>
  </si>
  <si>
    <t>Model 3 Results - Effective Delivered Cost and H2 Test</t>
  </si>
  <si>
    <t>Structure A - utility tariff ($/MWh)</t>
  </si>
  <si>
    <t>Structure B - sleeved grid PPA all-in ($/MWh)</t>
  </si>
  <si>
    <t>Structure C - Phase 1 islanded ($/MWh)</t>
  </si>
  <si>
    <t>Structure C - Phase 2 grid-connected ($/MWh)</t>
  </si>
  <si>
    <t>H2 TEST - dual denominator</t>
  </si>
  <si>
    <t>Savings, P1 vs B all-in: (B-C1)/B</t>
  </si>
  <si>
    <t>Savings, P2 vs B all-in: (B-C2)/B</t>
  </si>
  <si>
    <t>Savings, P1 vs B PPA price only</t>
  </si>
  <si>
    <t>Savings, P2 vs B PPA price only</t>
  </si>
  <si>
    <t>H2 (20-35%) met on all-in basis, Phase 1?</t>
  </si>
  <si>
    <t>READING</t>
  </si>
  <si>
    <t>The vs-PPA-price-only rows will show negative 'savings' for low-coverage configs (solar) because backup cost dominates - this is why the all-in denominator is the meaningful H2 test.</t>
  </si>
  <si>
    <t>Model 4: Levelized Cost of Energy (price FLOOR for BTM negotiation)</t>
  </si>
  <si>
    <t>LCOE = [CAPEX + PV(OPEX)] / PV(Energy). Green = linked from Configurations / Capitalization (Model 2). Yellow = headline floor. Closed-form annuity formulas; all live.</t>
  </si>
  <si>
    <t>SEC 1: SHARED PARAMETERS</t>
  </si>
  <si>
    <t>Discount rate (WACC proxy)</t>
  </si>
  <si>
    <t>Linked to Model 2 NPV discount rate (8%). Framework 2.4: WACC ~7-9%.</t>
  </si>
  <si>
    <t>SEC 2: LCOE BUILD-UP BY CONFIGURATION</t>
  </si>
  <si>
    <t>Geo+BESS 100MW</t>
  </si>
  <si>
    <t>Source / formula</t>
  </si>
  <si>
    <t>Configurations R4</t>
  </si>
  <si>
    <t>Configurations R5</t>
  </si>
  <si>
    <t>Configurations R7</t>
  </si>
  <si>
    <t>Configurations R8</t>
  </si>
  <si>
    <t>Configurations R6</t>
  </si>
  <si>
    <t>Operating life (yrs)</t>
  </si>
  <si>
    <t>Configurations R15</t>
  </si>
  <si>
    <t>Year-1 net energy (MWh)</t>
  </si>
  <si>
    <t>Formula: mw × CF × 8760 × avail × (1−loss)</t>
  </si>
  <si>
    <t>Total CAPEX, baseline ($mm)</t>
  </si>
  <si>
    <t>Configurations R9: excludes microgrid</t>
  </si>
  <si>
    <t>Configurations R11</t>
  </si>
  <si>
    <t>Total CAPEX, co-location ($mm)</t>
  </si>
  <si>
    <t>Formula: baseline + microgrid</t>
  </si>
  <si>
    <t>Fixed O&amp;M gen+BESS ($mm/yr)</t>
  </si>
  <si>
    <t>Configurations R12</t>
  </si>
  <si>
    <t>Land + insurance ($mm/yr)</t>
  </si>
  <si>
    <t>Configurations R13</t>
  </si>
  <si>
    <t>Configurations R14</t>
  </si>
  <si>
    <t>Annual OPEX, baseline ($mm/yr)</t>
  </si>
  <si>
    <t>Formula: o&amp;m + land/ins (no microgrid)</t>
  </si>
  <si>
    <t>Annual OPEX, co-location ($mm/yr)</t>
  </si>
  <si>
    <t>Formula: o&amp;m + land/ins + microgrid o&amp;m</t>
  </si>
  <si>
    <t>ITC amount @ lever rate ($mm)</t>
  </si>
  <si>
    <t>Capitalization R13 (base col)</t>
  </si>
  <si>
    <t>Capitalization R18 (base col): what TE actually pays for the credits</t>
  </si>
  <si>
    <t>SEC 3: PRESENT-VALUE FACTORS</t>
  </si>
  <si>
    <t>PV annuity factor for level OPEX</t>
  </si>
  <si>
    <t>Formula: [1 − (1+r)^−N] / r</t>
  </si>
  <si>
    <t>Degradation-adjusted growth q = (1−d)/(1+r)</t>
  </si>
  <si>
    <t>PV energy factor (yrs of Y1-equivalent)</t>
  </si>
  <si>
    <t>Formula: q(1−q^N)/(1−q); geometric series of degrading output discounted at r)</t>
  </si>
  <si>
    <t>PV of lifetime energy (MWh)</t>
  </si>
  <si>
    <t>SEC 4: LCOE OUTPUTS ($/MWh)</t>
  </si>
  <si>
    <t>Interpretation</t>
  </si>
  <si>
    <t>LCOE: baseline, no credit (gross)</t>
  </si>
  <si>
    <t>Full project cost with no tax-credit offset. OBBBA Scenario D floor.</t>
  </si>
  <si>
    <t>LCOE: co-location, no credit (gross)</t>
  </si>
  <si>
    <t>Adds microgrid CAPEX + O&amp;M. This is the physical floor for a BTM sale with zero credits.</t>
  </si>
  <si>
    <t>LCOE: baseline, net of tax equity</t>
  </si>
  <si>
    <t>CAPEX reduced by tax-equity contribution (Capitalization R18). Developer's effective cost floor at current ITC lever.</t>
  </si>
  <si>
    <t>LCOE: co-location, net of tax equity</t>
  </si>
  <si>
    <t>BASE-CASE FLOOR. Co-location CAPEX net of tax equity. Feeds M4_Bounds.</t>
  </si>
  <si>
    <t>Cross-check vs NREL ATB 2024 generation-only LCOE ranges</t>
  </si>
  <si>
    <t>NREL ATB 2024 (moderate, R&amp;D+Market)</t>
  </si>
  <si>
    <t>Solar PV $24–42</t>
  </si>
  <si>
    <t>Wind $25–50</t>
  </si>
  <si>
    <t>Geothermal $55–80</t>
  </si>
  <si>
    <t>Framework Sec 2.4 table. Model values are HIGHER because they include BESS ($113–159 LCOS), microgrid, land, interconnection: ATB is bare generation. https://atb.nrel.gov/electricity/2024/technologies</t>
  </si>
  <si>
    <t>Model 4: Price Floor, Ceiling, and Negotiation Zone</t>
  </si>
  <si>
    <t>Floor = developer's LCOE (M4_LCOE). Ceiling = data center's grid alternative (M3 Structure B). Zone = Ceiling − Floor. Framework Sec 4.2: 'If LCOE &gt; Grid PPA Cost, co-location is not viable at any price.'</t>
  </si>
  <si>
    <t>SEC 1: CEILING: data center's grid alternative (config-independent)</t>
  </si>
  <si>
    <t>Ceiling A: Structure B all-in delivered</t>
  </si>
  <si>
    <t>PRIMARY CEILING per framework Sec 4.2. Sleeved PPA energy + TAC + NBC + RA + AS + SC + shaping. What the DC actually avoids by going BTM.</t>
  </si>
  <si>
    <t>Ceiling B: energy-only market PPA</t>
  </si>
  <si>
    <t>LBNL hybrid PPA ($72). Reference point for the 'industry 10-20% discount' convention (framework 4.3). NOT the true ceiling: DC also avoids T&amp;D.</t>
  </si>
  <si>
    <t>Ceiling C: spot + wires (Phase-2 supplemental)</t>
  </si>
  <si>
    <t>P_avg (M1) + CAISO TAC + NBC. Lower-bound ceiling: merchant grid supply with no RA. Used in M3 Phase 2 supplemental.</t>
  </si>
  <si>
    <t>T&amp;D + capacity savings pool (A − B)</t>
  </si>
  <si>
    <t>The non-energy charges avoided by BTM. Framework 4.3: 'allocating the T&amp;D savings roughly 50/50 between the parties'.</t>
  </si>
  <si>
    <t>SEC 2: FLOOR &amp; ZONE BY CONFIGURATION</t>
  </si>
  <si>
    <t>Note</t>
  </si>
  <si>
    <t>Floor: LCOE gross (no credit)</t>
  </si>
  <si>
    <t>OBBBA Scenario D / FEOC-fail floor</t>
  </si>
  <si>
    <t>Floor: LCOE net of tax equity (BASE)</t>
  </si>
  <si>
    <t>Base-case floor at current ITC lever (Inputs!B6)</t>
  </si>
  <si>
    <t>Zone vs Ceiling A (all-in): base floor</t>
  </si>
  <si>
    <t>Primary negotiation zone width</t>
  </si>
  <si>
    <t>Zone vs Ceiling B (energy-only): base floor</t>
  </si>
  <si>
    <t>Zone if DC ignores its T&amp;D savings (narrow-frame negotiation)</t>
  </si>
  <si>
    <t>Zone vs Ceiling A: gross floor (no credit)</t>
  </si>
  <si>
    <t>Stress: zone survives loss of tax credits?</t>
  </si>
  <si>
    <t>SEC 3: VIABILITY TESTS</t>
  </si>
  <si>
    <t>Reading</t>
  </si>
  <si>
    <t>Viable vs all-in ceiling (base floor)?</t>
  </si>
  <si>
    <t>Framework 4.2 test</t>
  </si>
  <si>
    <t>Viable vs energy-only ceiling (base floor)?</t>
  </si>
  <si>
    <t>If NO: developer's cost exceeds market PPA: only viable if DC shares its T&amp;D savings</t>
  </si>
  <si>
    <t>Viable vs all-in ceiling (zero credit)?</t>
  </si>
  <si>
    <t>Survives OBBBA Scenario D?</t>
  </si>
  <si>
    <t>Model 2 BTM input ($60) above base floor?</t>
  </si>
  <si>
    <t>Consistency check: Model 2's $60 BTM assumption vs this model's floor. NO means Model 2 is pricing that config below cost.</t>
  </si>
  <si>
    <t>Model 4: BTM Price Setting and Two-Sided Viability Test</t>
  </si>
  <si>
    <t>Three methods from framework Sec 4.3. Yellow lever = bargaining share α. Output feeds back to Model 2 (BTM revenue) and Model 3 (Structure C cost).</t>
  </si>
  <si>
    <t>SEC 1: LEVERS</t>
  </si>
  <si>
    <t>Bargaining share α (0 = DC has all power → floor; 1 = developer → ceiling)</t>
  </si>
  <si>
    <t>Framework 4.3: geothermal/unique site → α higher; DC with multiple site options → α lower. 0.5 = symmetric.</t>
  </si>
  <si>
    <t>Industry discount to energy-only PPA</t>
  </si>
  <si>
    <t>Framework 4.3: 'BTM PPA typically set at 10-20% discount to grid PPA'. Midpoint 15%.</t>
  </si>
  <si>
    <t>Developer levered IRR hurdle</t>
  </si>
  <si>
    <t>Framework 2.9.3: 'Developer equity hurdle rate: 10-15%'. Low end used.</t>
  </si>
  <si>
    <t>DC minimum savings vs grid (H2 lower bound)</t>
  </si>
  <si>
    <t>H2 hypothesis: 20-35% savings. Lower bound as acceptance threshold.</t>
  </si>
  <si>
    <t>SEC 2: THREE PRICE-SETTING METHODS ($/MWh)</t>
  </si>
  <si>
    <t>Method</t>
  </si>
  <si>
    <t>Method 1: Midpoint (floor, all-in ceiling)</t>
  </si>
  <si>
    <t>Framework 4.5 Step 1: 'initial BTM price as midpoint of LCOE and Grid PPA'. Splits the full surplus 50/50.</t>
  </si>
  <si>
    <t>Method 2: Industry discount to energy PPA</t>
  </si>
  <si>
    <t>Framework 4.3 convention. Config-independent: ignores developer's cost. Matches Model 2's $60 at 17% discount.</t>
  </si>
  <si>
    <t>Method 3: Bargaining share α on zone</t>
  </si>
  <si>
    <t>General form; Method 1 is α=0.5. Lever above.</t>
  </si>
  <si>
    <t>Method 2 vs floor: is discount price above LCOE?</t>
  </si>
  <si>
    <t>If NO, the industry convention would price this config below its own LCOE. Developer would not sign.</t>
  </si>
  <si>
    <t>SEC 3: SELECTED BTM PRICE (feeds Model 2 / Model 3)</t>
  </si>
  <si>
    <t>Method selector (1/2/3)</t>
  </si>
  <si>
    <t>Default = 3 (bargaining share). Change to 1 or 2 to switch.</t>
  </si>
  <si>
    <t>BTM PPA price: selected ($/MWh)</t>
  </si>
  <si>
    <t>→ Replace Inputs!B19 ($60 flat) with these per-config values to close the M4→M2 loop. Not auto-linked: Model 2 v7 has a single global BTM cell.</t>
  </si>
  <si>
    <t>vs Model 2 current input ($60)</t>
  </si>
  <si>
    <t>Positive = Model 4 says price should be higher than Model 2 assumes.</t>
  </si>
  <si>
    <t>SEC 4: TWO-SIDED VIABILITY AT SELECTED PRICE</t>
  </si>
  <si>
    <t>Test</t>
  </si>
  <si>
    <t>Developer side: price − LCOE floor ($/MWh)</t>
  </si>
  <si>
    <t>Margin over cost at 8% WACC. Positive = earns above WACC unlevered.</t>
  </si>
  <si>
    <t>Developer side: Model 2 co-loc levered IRR (live, at effective BTM)</t>
  </si>
  <si>
    <t>Live from Model 2 at the effective BTM price (Configurations R16). With Inputs!B27 = 2 this IS the test at the Model 4 price; loop closed.</t>
  </si>
  <si>
    <t>Developer side: meets hurdle at effective BTM?</t>
  </si>
  <si>
    <t>DC side: all-in BTM cost, Phase 2 ($/MWh)</t>
  </si>
  <si>
    <t>Recomputes M3_StructC Phase 2 formula at the selected BTM price instead of M3's $62 placeholder.</t>
  </si>
  <si>
    <t>DC side: savings vs Structure B all-in</t>
  </si>
  <si>
    <t>DC side: meets minimum savings?</t>
  </si>
  <si>
    <t>BOTH PARTIES VIABLE (Phase 2, at effective BTM)?</t>
  </si>
  <si>
    <t>Framework 4.5 Step 4: 'range of BTM prices that simultaneously satisfy both parties'. Requires: IRR ≥ hurdle AND DC savings ≥ min AND price ≥ LCOE.</t>
  </si>
  <si>
    <t>SEC 5: PRICE RANGE SATISFYING BOTH (analytical)</t>
  </si>
  <si>
    <t>Max price DC accepts (savings = min)</t>
  </si>
  <si>
    <t>Solves Phase-2 cost equation for P such that DC savings exactly equal the minimum threshold.</t>
  </si>
  <si>
    <t>Min price developer accepts (LCOE floor)</t>
  </si>
  <si>
    <t>Mutually acceptable range width ($/MWh)</t>
  </si>
  <si>
    <t>Negative = no price satisfies both at these thresholds. This is the headline Model 4 output.</t>
  </si>
  <si>
    <t>Deal exists?</t>
  </si>
  <si>
    <t>Model 4: Methodology Notes and Findings</t>
  </si>
  <si>
    <t>§1  What Model 4 does</t>
  </si>
  <si>
    <t>Determines the price range within which a behind-the-meter PPA is acceptable to both the renewable developer and the co-located data center (framework Sec 4). Floor = developer's LCOE (M4_LCOE, computed from Model 2 Configurations at the Model 2 discount rate). Ceiling = data center's grid alternative (M3 Structure B all-in delivered cost). Zone = ceiling − floor. Three price-setting methods (framework 4.3/4.5), a two-sided viability test, and an analytical solve for the mutually acceptable range.</t>
  </si>
  <si>
    <t>§2  LCOE construction</t>
  </si>
  <si>
    <t>Closed-form: LCOE = [CAPEX + OPEX × PVA(r,N)] / [E₁ × q(1−q^N)/(1−q)] with q = (1−d)/(1+r). CAPEX and OPEX pulled live from Configurations (NREL ATB 2024 midpoints). Discount rate linked to Model 2's 8% NPV rate (framework 2.4: WACC 7–9%). Two variants: gross (no credits, OBBBA Scenario D) and net of tax equity (CAPEX reduced by the Capitalization R18 contribution). Net LCOE is the base floor because tax equity is real capital the developer does not have to raise. Model LCOEs are above NREL ATB generation-only ranges because they include BESS (LCOS $113–159), microgrid, land, and interconnection: this is by design; the floor must cover the whole project.</t>
  </si>
  <si>
    <t>§3 FINDING: Model 2's $60/MWh BTM price is below LCOE for solar and wind</t>
  </si>
  <si>
    <t>Base-case co-location LCOE net of tax equity: Solar $79.70, Wind $69.89, Geothermal $55.05. Model 2 v7 uses a flat $60 BTM input for all three. At $60, solar is selling ~$20 below cost and wind ~$10 below cost at 8% WACC; only geothermal clears its floor. This is consistent with Model 2's own unlevered IRRs (solar 1.3%, wind 2.6%, geo 5.0% co-loc: all below 8%) and with the earlier finding that solar cannot be rescued by co-location. The $60 figure came from the 'industry 10–20% discount to energy PPA' convention, which is benchmarked to the $72 energy-only PPA and is blind to the developer's cost.</t>
  </si>
  <si>
    <t>§4 FINDING: the true negotiation zone is much wider than the framework expected, because the ceiling is higher</t>
  </si>
  <si>
    <t>Framework Sec 3 estimated Structure B (sleeved grid PPA) at $60–90/MWh. Model 3 found $162.82 once RA ($45), TAC ($16), NBC ($23), and shaping are stacked. That $91 gap between energy-only PPA and all-in delivered cost is the 'T&amp;D + capacity savings pool' the two parties are actually dividing. With the all-in ceiling, the zone is $83 (solar) / $93 (wind) / $108 (geo) wide, and the midpoint price is ~$109–121 rather than ~$60. At the midpoint the developer earns $42–54/MWh over LCOE and the DC still saves 26–28% vs grid: both parties clear their thresholds for all three configurations. Framework 4.2's warning that 'if LCOE &gt; Grid PPA Cost, co-location is not viable' does NOT bind for any configuration once the correct ceiling is used, even in the zero-credit stress case.</t>
  </si>
  <si>
    <t>§5 FINDING: Method 2 (industry convention) and Methods 1/3 (surplus-splitting) give very different prices; the paper must choose and justify</t>
  </si>
  <si>
    <t>Method 2 gives $61 for all configs (config-blind). Methods 1/3 at α=0.5 give $109–121 (config-specific). The $50–60 gap is the T&amp;D savings pool split. Recommended framing for the paper: Method 2 is what a DC would open with if it frames the deal as 'a cheaper PPA'; Methods 1/3 are what the deal is worth once the DC's avoided wires and capacity costs are priced in. The bargaining lever α lets the paper show the full range. A defensible base case is α = 0.5 (framework 4.3: 'allocating the T&amp;D savings roughly 50/50'), which is Method 1.</t>
  </si>
  <si>
    <t>§6  Analytical mutually-acceptable range (SEC 5)</t>
  </si>
  <si>
    <t>P_max is solved from the Model 3 Phase-2 cost equation: P such that DC all-in cost = Ceiling_A × (1 − min_savings). P_min is the LCOE floor. Range width: Solar $74.50, Wind $62.65, Geo $67.16: a deal exists for all three at 20% minimum DC savings and 8% developer WACC. Solar's range is widest because its low coverage ratio (29%) means the BTM price has little weight in the DC's blended cost, so the DC is price-insensitive to it. This is a double-edged result: the DC will accept a high solar BTM price, but the developer earns it on only 29% of the DC's load.</t>
  </si>
  <si>
    <t>§7  What is NOT closed in this iteration</t>
  </si>
  <si>
    <t>(a) The M4→M2 loop is not auto-linked: Model 2 v7 has a single global BTM cell (Inputs!B19). To close the loop, set B19 to each config's selected price in turn and read the levered IRR: or add a per-config BTM row to Model 2. (b) The IRR shown in M4_Pricing SEC 4 is Model 2's live value at $60, not at the selected price; it is a proxy. (c) LCOE uses 8% flat; a config-specific WACC (geothermal lower risk → lower WACC → lower floor) would widen the geothermal zone further. (d) Bargaining share α is a lever, not an estimate: practitioner interviews (Q4 in Chien questions, tax-equity market conditions) are the intended source. (e) Carbon scenarios from M1 are not yet wired into the ceiling; C30/C60 would raise Ceiling_C by $13/$26 and Ceiling_A by roughly the same (higher spot passes through to the sleeved PPA).</t>
  </si>
  <si>
    <t>§8  Implication for H1/H2 restatement</t>
  </si>
  <si>
    <t>H1 (developer IRR +3–6 pp) was tested in Model 2 at $60 BTM. At Model-4-consistent prices, the co-location uplift is larger for all configs and solar likely crosses the 10% hurdle. H2 (DC saves 20–35%) holds at the midpoint price for all configs in Phase 2 (26–28%). The restated hypothesis should be joint: 'there exists a BTM price at which the developer clears WACC and the DC saves ≥20%, for all three configurations, with the geothermal zone widest on the developer side and the solar zone widest on the DC side.'</t>
  </si>
  <si>
    <t>Figure 2 data: developer levered IRR vs post-completion queue wait</t>
  </si>
  <si>
    <t>STATIC VALUES. Each row is one full model run (Inputs!B5 = queue years, B6 = ITC, B27 = BTM lever), IRR recomputed from the developer cash-flow column (K5:K37) with numpy_financial because LibreOffice IRR() does not converge for negative returns. Regenerate with the sweep script if any upstream input changes. Levers: 1 = flat $60 BTM (Inputs!B19), 2 = Model 4 per-config price. Columns J-L record the effective BTM price for each row; under lever 2 it rises when ITC = 0 because the LCOE floor loses its tax-equity offset.</t>
  </si>
  <si>
    <t>BTM lever</t>
  </si>
  <si>
    <t>Queue (yr)</t>
  </si>
  <si>
    <t>Solar base</t>
  </si>
  <si>
    <t>Solar coloc</t>
  </si>
  <si>
    <t>Wind base</t>
  </si>
  <si>
    <t>Wind coloc</t>
  </si>
  <si>
    <t>Geo base</t>
  </si>
  <si>
    <t>Geo coloc</t>
  </si>
  <si>
    <t>Solar BTM $/MWh</t>
  </si>
  <si>
    <t>Wind BTM $/MWh</t>
  </si>
  <si>
    <t>Geo BTM $/MWh</t>
  </si>
  <si>
    <t>Figure 3 data: BTM price bounds and mutually acceptable range</t>
  </si>
  <si>
    <t>LIVE. All values link to M4_Bounds / M4_Pricing. Stacked bar: segment 1 (no fill) = floor offset; segment 2 (green) = mutually acceptable range; segment 3 (grey) = remainder of zone to ceiling.</t>
  </si>
  <si>
    <t>Configuration</t>
  </si>
  <si>
    <t>Net LCOE floor</t>
  </si>
  <si>
    <t>Gross LCOE</t>
  </si>
  <si>
    <t>DC 20% limit (P_max)</t>
  </si>
  <si>
    <t>Ceiling (Structure B)</t>
  </si>
  <si>
    <t>Midpoint</t>
  </si>
  <si>
    <t>Seg1: floor</t>
  </si>
  <si>
    <t>Seg2: acceptable</t>
  </si>
  <si>
    <t>Seg3: rest of zone</t>
  </si>
  <si>
    <t>$60 marker</t>
  </si>
  <si>
    <t>Solar+BESS 100 MW</t>
  </si>
  <si>
    <t>Wind+BESS 150 MW</t>
  </si>
  <si>
    <t>Geothermal+BESS 100 MW</t>
  </si>
  <si>
    <t>Figure 4 data: two-sided viability across the bargaining share</t>
  </si>
  <si>
    <t>STATIC VALUES from 7 closed-loop runs varying M4_Pricing!B5 (α). IRR = Results!B5:D5 (live Model 2 at that price); DC saving = M4_Pricing DC-side savings row. Regenerate if upstream inputs change. Hurdle 10% and min saving 20% are the M4_Pricing lever values.</t>
  </si>
  <si>
    <t>α</t>
  </si>
  <si>
    <t>Solar IRR</t>
  </si>
  <si>
    <t>Solar DC saving</t>
  </si>
  <si>
    <t>Wind IRR</t>
  </si>
  <si>
    <t>Wind DC saving</t>
  </si>
  <si>
    <t>Geo IRR</t>
  </si>
  <si>
    <t>Geo DC saving</t>
  </si>
  <si>
    <t>Hurdle</t>
  </si>
  <si>
    <t>Min saving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</si>
</sst>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0"/>
    <numFmt numFmtId="177" formatCode="\$#,##0"/>
    <numFmt numFmtId="178" formatCode="\$#,##0.0"/>
    <numFmt numFmtId="179" formatCode="0.000"/>
    <numFmt numFmtId="180" formatCode="0.0%"/>
    <numFmt numFmtId="181" formatCode="\+0%;\-0%;0%"/>
    <numFmt numFmtId="182" formatCode="0.00\x"/>
    <numFmt numFmtId="183" formatCode="\$#,##0.00;&quot;($&quot;#,##0.00\);\-"/>
    <numFmt numFmtId="184" formatCode="\+0.0;\-0.0"/>
    <numFmt numFmtId="185" formatCode="0.0000"/>
    <numFmt numFmtId="186" formatCode="&quot;+$&quot;#,##0.00;&quot;-$&quot;#,##0.00"/>
  </numFmts>
  <fonts count="23" x14ac:knownFonts="1">
    <font>
      <sz val="11"/>
      <color theme="1"/>
      <name val="Calibri"/>
      <family val="2"/>
      <charset val="1"/>
    </font>
    <font>
      <b/>
      <sz val="14"/>
      <name val="Cambria"/>
      <family val="1"/>
    </font>
    <font>
      <b/>
      <sz val="12"/>
      <color rgb="FF1A3A5F"/>
      <name val="Cambria"/>
      <family val="1"/>
    </font>
    <font>
      <sz val="10"/>
      <color rgb="FF0000FF"/>
      <name val="Cambria"/>
      <family val="1"/>
    </font>
    <font>
      <sz val="10"/>
      <name val="Cambria"/>
      <family val="1"/>
    </font>
    <font>
      <b/>
      <sz val="13"/>
      <name val="Arial"/>
      <family val="2"/>
    </font>
    <font>
      <i/>
      <sz val="9"/>
      <color rgb="FF555555"/>
      <name val="Arial"/>
      <family val="2"/>
    </font>
    <font>
      <b/>
      <sz val="11"/>
      <color rgb="FF1A3A5F"/>
      <name val="Arial"/>
      <family val="2"/>
    </font>
    <font>
      <b/>
      <sz val="10"/>
      <name val="Arial"/>
      <family val="2"/>
    </font>
    <font>
      <sz val="10"/>
      <color rgb="FF000000"/>
      <name val="Arial"/>
      <family val="2"/>
    </font>
    <font>
      <sz val="10"/>
      <color rgb="FF0000FF"/>
      <name val="Arial"/>
      <family val="2"/>
    </font>
    <font>
      <sz val="10"/>
      <color rgb="FF008000"/>
      <name val="Arial"/>
      <family val="2"/>
    </font>
    <font>
      <i/>
      <sz val="9"/>
      <name val="Arial"/>
      <family val="2"/>
    </font>
    <font>
      <b/>
      <sz val="11"/>
      <name val="Arial"/>
      <family val="2"/>
    </font>
    <font>
      <sz val="11"/>
      <name val="Arial"/>
      <family val="2"/>
    </font>
    <font>
      <sz val="11"/>
      <color rgb="FF0000FF"/>
      <name val="Arial"/>
      <family val="2"/>
    </font>
    <font>
      <sz val="8"/>
      <color rgb="FF666666"/>
      <name val="Arial"/>
      <family val="2"/>
    </font>
    <font>
      <sz val="11"/>
      <color rgb="FF008000"/>
      <name val="Arial"/>
      <family val="2"/>
    </font>
    <font>
      <b/>
      <sz val="12"/>
      <name val="Arial"/>
      <family val="2"/>
    </font>
    <font>
      <i/>
      <sz val="9"/>
      <color rgb="FF666666"/>
      <name val="Arial"/>
      <family val="2"/>
    </font>
    <font>
      <sz val="10"/>
      <name val="Arial"/>
      <family val="2"/>
    </font>
    <font>
      <b/>
      <sz val="10"/>
      <color rgb="FFC00000"/>
      <name val="Arial"/>
      <family val="2"/>
    </font>
    <font>
      <sz val="9"/>
      <name val="FangSong"/>
      <family val="3"/>
      <charset val="134"/>
    </font>
  </fonts>
  <fills count="7">
    <fill>
      <patternFill patternType="none"/>
    </fill>
    <fill>
      <patternFill patternType="gray125"/>
    </fill>
    <fill>
      <patternFill patternType="solid">
        <fgColor rgb="FFE8E8E8"/>
        <bgColor rgb="FFDDDDDD"/>
      </patternFill>
    </fill>
    <fill>
      <patternFill patternType="solid">
        <fgColor rgb="FFFFFF00"/>
        <bgColor rgb="FFFFFF00"/>
      </patternFill>
    </fill>
    <fill>
      <patternFill patternType="solid">
        <fgColor rgb="FFDDDDDD"/>
        <bgColor rgb="FFD9D9D9"/>
      </patternFill>
    </fill>
    <fill>
      <patternFill patternType="solid">
        <fgColor rgb="FFD9D9D9"/>
        <bgColor rgb="FFDDDDDD"/>
      </patternFill>
    </fill>
    <fill>
      <patternFill patternType="solid">
        <fgColor rgb="FFFFF2CC"/>
        <bgColor rgb="FFE8E8E8"/>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06">
    <xf numFmtId="0" fontId="0" fillId="0" borderId="0" xfId="0"/>
    <xf numFmtId="0" fontId="6" fillId="0" borderId="0" xfId="0" applyFont="1"/>
    <xf numFmtId="0" fontId="6" fillId="0" borderId="0" xfId="0" applyFont="1" applyAlignment="1">
      <alignment vertical="top" wrapText="1"/>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0" fillId="0" borderId="0" xfId="0" applyAlignment="1">
      <alignment vertical="top" wrapText="1"/>
    </xf>
    <xf numFmtId="0" fontId="6" fillId="0" borderId="0" xfId="0" applyFont="1"/>
    <xf numFmtId="0" fontId="7" fillId="0" borderId="0" xfId="0" applyFont="1"/>
    <xf numFmtId="0" fontId="8" fillId="2" borderId="0" xfId="0" applyFont="1" applyFill="1"/>
    <xf numFmtId="0" fontId="8" fillId="2" borderId="0" xfId="0" applyFont="1" applyFill="1" applyAlignment="1">
      <alignment vertical="top" wrapText="1"/>
    </xf>
    <xf numFmtId="0" fontId="9" fillId="0" borderId="0" xfId="0" applyFont="1"/>
    <xf numFmtId="176" fontId="10" fillId="0" borderId="0" xfId="0" applyNumberFormat="1" applyFont="1"/>
    <xf numFmtId="0" fontId="6" fillId="0" borderId="0" xfId="0" applyFont="1" applyAlignment="1">
      <alignment vertical="top" wrapText="1"/>
    </xf>
    <xf numFmtId="176" fontId="9" fillId="0" borderId="0" xfId="0" applyNumberFormat="1" applyFont="1"/>
    <xf numFmtId="177" fontId="10" fillId="0" borderId="0" xfId="0" applyNumberFormat="1" applyFont="1"/>
    <xf numFmtId="178" fontId="9" fillId="0" borderId="0" xfId="0" applyNumberFormat="1" applyFont="1"/>
    <xf numFmtId="0" fontId="9" fillId="0" borderId="0" xfId="0" applyFont="1" applyAlignment="1">
      <alignment vertical="top" wrapText="1"/>
    </xf>
    <xf numFmtId="179" fontId="9" fillId="0" borderId="0" xfId="0" applyNumberFormat="1" applyFont="1"/>
    <xf numFmtId="179" fontId="9" fillId="3" borderId="0" xfId="0" applyNumberFormat="1" applyFont="1" applyFill="1"/>
    <xf numFmtId="3" fontId="10" fillId="0" borderId="0" xfId="0" applyNumberFormat="1" applyFont="1"/>
    <xf numFmtId="180" fontId="9" fillId="0" borderId="0" xfId="0" applyNumberFormat="1" applyFont="1"/>
    <xf numFmtId="180" fontId="10" fillId="0" borderId="0" xfId="0" applyNumberFormat="1" applyFont="1"/>
    <xf numFmtId="0" fontId="8" fillId="0" borderId="0" xfId="0" applyFont="1" applyAlignment="1">
      <alignment vertical="top" wrapText="1"/>
    </xf>
    <xf numFmtId="176" fontId="11" fillId="0" borderId="0" xfId="0" applyNumberFormat="1" applyFont="1"/>
    <xf numFmtId="0" fontId="8" fillId="0" borderId="0" xfId="0" applyFont="1"/>
    <xf numFmtId="177" fontId="8" fillId="3" borderId="0" xfId="0" applyNumberFormat="1" applyFont="1" applyFill="1"/>
    <xf numFmtId="177" fontId="9" fillId="0" borderId="0" xfId="0" applyNumberFormat="1" applyFont="1"/>
    <xf numFmtId="181" fontId="9" fillId="0" borderId="0" xfId="0" applyNumberFormat="1" applyFont="1"/>
    <xf numFmtId="179" fontId="11" fillId="0" borderId="0" xfId="0" applyNumberFormat="1" applyFont="1"/>
    <xf numFmtId="0" fontId="8" fillId="2" borderId="1" xfId="0" applyFont="1" applyFill="1" applyBorder="1"/>
    <xf numFmtId="0" fontId="8" fillId="2" borderId="1" xfId="0" applyFont="1" applyFill="1" applyBorder="1" applyAlignment="1">
      <alignment horizontal="center"/>
    </xf>
    <xf numFmtId="0" fontId="8" fillId="2" borderId="1" xfId="0" applyFont="1" applyFill="1" applyBorder="1" applyAlignment="1">
      <alignment vertical="top" wrapText="1"/>
    </xf>
    <xf numFmtId="0" fontId="8" fillId="0" borderId="1" xfId="0" applyFont="1" applyBorder="1"/>
    <xf numFmtId="177" fontId="9" fillId="3" borderId="1" xfId="0" applyNumberFormat="1" applyFont="1" applyFill="1" applyBorder="1" applyAlignment="1">
      <alignment horizontal="center"/>
    </xf>
    <xf numFmtId="177" fontId="9" fillId="3" borderId="1" xfId="0" applyNumberFormat="1" applyFont="1" applyFill="1" applyBorder="1" applyAlignment="1">
      <alignment vertical="top" wrapText="1"/>
    </xf>
    <xf numFmtId="0" fontId="6" fillId="0" borderId="0" xfId="0" applyFont="1" applyAlignment="1">
      <alignment wrapText="1"/>
    </xf>
    <xf numFmtId="9" fontId="9" fillId="0" borderId="0" xfId="0" applyNumberFormat="1" applyFont="1"/>
    <xf numFmtId="177" fontId="0" fillId="0" borderId="0" xfId="0" applyNumberFormat="1"/>
    <xf numFmtId="9" fontId="11" fillId="0" borderId="0" xfId="0" applyNumberFormat="1" applyFont="1"/>
    <xf numFmtId="0" fontId="12" fillId="0" borderId="0" xfId="0" applyFont="1"/>
    <xf numFmtId="0" fontId="13" fillId="4" borderId="0" xfId="0" applyFont="1" applyFill="1"/>
    <xf numFmtId="0" fontId="14" fillId="0" borderId="0" xfId="0" applyFont="1"/>
    <xf numFmtId="3" fontId="15" fillId="3" borderId="0" xfId="0" applyNumberFormat="1" applyFont="1" applyFill="1"/>
    <xf numFmtId="0" fontId="16" fillId="0" borderId="0" xfId="0" applyFont="1"/>
    <xf numFmtId="180" fontId="15" fillId="3" borderId="0" xfId="0" applyNumberFormat="1" applyFont="1" applyFill="1"/>
    <xf numFmtId="176" fontId="15" fillId="0" borderId="0" xfId="0" applyNumberFormat="1" applyFont="1"/>
    <xf numFmtId="180" fontId="15" fillId="0" borderId="0" xfId="0" applyNumberFormat="1" applyFont="1"/>
    <xf numFmtId="3" fontId="15" fillId="0" borderId="0" xfId="0" applyNumberFormat="1" applyFont="1"/>
    <xf numFmtId="182" fontId="15" fillId="0" borderId="0" xfId="0" applyNumberFormat="1" applyFont="1"/>
    <xf numFmtId="183" fontId="15" fillId="0" borderId="0" xfId="0" applyNumberFormat="1" applyFont="1"/>
    <xf numFmtId="1" fontId="10" fillId="3" borderId="0" xfId="0" applyNumberFormat="1" applyFont="1" applyFill="1"/>
    <xf numFmtId="176" fontId="9" fillId="3" borderId="0" xfId="0" applyNumberFormat="1" applyFont="1" applyFill="1"/>
    <xf numFmtId="183" fontId="14" fillId="0" borderId="0" xfId="0" applyNumberFormat="1" applyFont="1"/>
    <xf numFmtId="3" fontId="14" fillId="0" borderId="0" xfId="0" applyNumberFormat="1" applyFont="1"/>
    <xf numFmtId="0" fontId="13" fillId="0" borderId="0" xfId="0" applyFont="1"/>
    <xf numFmtId="10" fontId="15" fillId="0" borderId="0" xfId="0" applyNumberFormat="1" applyFont="1"/>
    <xf numFmtId="180" fontId="13" fillId="3" borderId="0" xfId="0" applyNumberFormat="1" applyFont="1" applyFill="1"/>
    <xf numFmtId="180" fontId="13" fillId="0" borderId="0" xfId="0" applyNumberFormat="1" applyFont="1"/>
    <xf numFmtId="183" fontId="13" fillId="0" borderId="0" xfId="0" applyNumberFormat="1" applyFont="1"/>
    <xf numFmtId="0" fontId="13" fillId="4" borderId="0" xfId="0" applyFont="1" applyFill="1" applyAlignment="1">
      <alignment wrapText="1"/>
    </xf>
    <xf numFmtId="183" fontId="17" fillId="0" borderId="0" xfId="0" applyNumberFormat="1" applyFont="1"/>
    <xf numFmtId="180" fontId="14" fillId="0" borderId="0" xfId="0" applyNumberFormat="1" applyFont="1"/>
    <xf numFmtId="182" fontId="14" fillId="0" borderId="0" xfId="0" applyNumberFormat="1" applyFont="1"/>
    <xf numFmtId="180" fontId="17" fillId="0" borderId="0" xfId="0" applyNumberFormat="1" applyFont="1"/>
    <xf numFmtId="2" fontId="13" fillId="3" borderId="0" xfId="0" applyNumberFormat="1" applyFont="1" applyFill="1"/>
    <xf numFmtId="183" fontId="13" fillId="3" borderId="0" xfId="0" applyNumberFormat="1" applyFont="1" applyFill="1"/>
    <xf numFmtId="180" fontId="0" fillId="0" borderId="0" xfId="0" applyNumberFormat="1"/>
    <xf numFmtId="184" fontId="13" fillId="4" borderId="0" xfId="0" applyNumberFormat="1" applyFont="1" applyFill="1"/>
    <xf numFmtId="2" fontId="14" fillId="0" borderId="0" xfId="0" applyNumberFormat="1" applyFont="1"/>
    <xf numFmtId="184" fontId="0" fillId="3" borderId="0" xfId="0" applyNumberFormat="1" applyFill="1"/>
    <xf numFmtId="0" fontId="18" fillId="0" borderId="0" xfId="0" applyFont="1"/>
    <xf numFmtId="0" fontId="19" fillId="0" borderId="0" xfId="0" applyFont="1"/>
    <xf numFmtId="0" fontId="8" fillId="5" borderId="0" xfId="0" applyFont="1" applyFill="1"/>
    <xf numFmtId="0" fontId="0" fillId="5" borderId="0" xfId="0" applyFill="1"/>
    <xf numFmtId="0" fontId="20" fillId="0" borderId="0" xfId="0" applyFont="1"/>
    <xf numFmtId="4" fontId="10" fillId="0" borderId="0" xfId="0" applyNumberFormat="1" applyFont="1"/>
    <xf numFmtId="10" fontId="10" fillId="6" borderId="0" xfId="0" applyNumberFormat="1" applyFont="1" applyFill="1"/>
    <xf numFmtId="10" fontId="10" fillId="0" borderId="0" xfId="0" applyNumberFormat="1" applyFont="1"/>
    <xf numFmtId="4" fontId="10" fillId="6" borderId="0" xfId="0" applyNumberFormat="1" applyFont="1" applyFill="1"/>
    <xf numFmtId="4" fontId="0" fillId="0" borderId="0" xfId="0" applyNumberFormat="1"/>
    <xf numFmtId="3" fontId="0" fillId="0" borderId="0" xfId="0" applyNumberFormat="1"/>
    <xf numFmtId="180" fontId="8" fillId="0" borderId="0" xfId="0" applyNumberFormat="1" applyFont="1"/>
    <xf numFmtId="4" fontId="8" fillId="0" borderId="0" xfId="0" applyNumberFormat="1" applyFont="1"/>
    <xf numFmtId="4" fontId="8" fillId="5" borderId="0" xfId="0" applyNumberFormat="1" applyFont="1" applyFill="1"/>
    <xf numFmtId="0" fontId="21" fillId="0" borderId="0" xfId="0" applyFont="1"/>
    <xf numFmtId="180" fontId="11" fillId="0" borderId="0" xfId="0" applyNumberFormat="1" applyFont="1"/>
    <xf numFmtId="3" fontId="11" fillId="0" borderId="0" xfId="0" applyNumberFormat="1" applyFont="1"/>
    <xf numFmtId="10" fontId="11" fillId="0" borderId="0" xfId="0" applyNumberFormat="1" applyFont="1"/>
    <xf numFmtId="1" fontId="11" fillId="0" borderId="0" xfId="0" applyNumberFormat="1" applyFont="1"/>
    <xf numFmtId="3" fontId="9" fillId="0" borderId="0" xfId="0" applyNumberFormat="1" applyFont="1"/>
    <xf numFmtId="178" fontId="11" fillId="0" borderId="0" xfId="0" applyNumberFormat="1" applyFont="1"/>
    <xf numFmtId="185" fontId="9" fillId="0" borderId="0" xfId="0" applyNumberFormat="1" applyFont="1"/>
    <xf numFmtId="176" fontId="8" fillId="3" borderId="0" xfId="0" applyNumberFormat="1" applyFont="1" applyFill="1"/>
    <xf numFmtId="176" fontId="11" fillId="3" borderId="0" xfId="0" applyNumberFormat="1" applyFont="1" applyFill="1"/>
    <xf numFmtId="2" fontId="10" fillId="3" borderId="0" xfId="0" applyNumberFormat="1" applyFont="1" applyFill="1"/>
    <xf numFmtId="9" fontId="10" fillId="3" borderId="0" xfId="0" applyNumberFormat="1" applyFont="1" applyFill="1"/>
    <xf numFmtId="186" fontId="9" fillId="0" borderId="0" xfId="0" applyNumberFormat="1" applyFont="1"/>
    <xf numFmtId="0" fontId="8" fillId="3" borderId="0" xfId="0" applyFont="1" applyFill="1"/>
    <xf numFmtId="186" fontId="8" fillId="3" borderId="0" xfId="0" applyNumberFormat="1" applyFont="1" applyFill="1"/>
    <xf numFmtId="0" fontId="10" fillId="0" borderId="0" xfId="0" applyFont="1"/>
    <xf numFmtId="9" fontId="10" fillId="0" borderId="0" xfId="0" applyNumberFormat="1" applyFont="1"/>
    <xf numFmtId="176" fontId="20" fillId="0" borderId="0" xfId="0" applyNumberFormat="1" applyFont="1"/>
    <xf numFmtId="2" fontId="10" fillId="0" borderId="0" xfId="0" applyNumberFormat="1" applyFont="1"/>
  </cellXfs>
  <cellStyles count="1">
    <cellStyle name="常规" xfId="0" builtinId="0"/>
  </cellStyles>
  <dxfs count="0"/>
  <tableStyles count="0" defaultTableStyle="TableStyleMedium2" defaultPivotStyle="PivotStyleLight16"/>
  <colors>
    <indexedColors>
      <rgbColor rgb="FF000000"/>
      <rgbColor rgb="FFE8E8E8"/>
      <rgbColor rgb="FFC00000"/>
      <rgbColor rgb="FF00FF00"/>
      <rgbColor rgb="FF0000FF"/>
      <rgbColor rgb="FFFFFF00"/>
      <rgbColor rgb="FFFF00FF"/>
      <rgbColor rgb="FF00FFFF"/>
      <rgbColor rgb="FF800000"/>
      <rgbColor rgb="FF008000"/>
      <rgbColor rgb="FF000080"/>
      <rgbColor rgb="FF808000"/>
      <rgbColor rgb="FF800080"/>
      <rgbColor rgb="FF1A5C3A"/>
      <rgbColor rgb="FFCCCCCC"/>
      <rgbColor rgb="FF7A7A7A"/>
      <rgbColor rgb="FF8FBC8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DDDDD"/>
      <rgbColor rgb="FFFFFF99"/>
      <rgbColor rgb="FFB3B3B3"/>
      <rgbColor rgb="FFFF99CC"/>
      <rgbColor rgb="FFCC99FF"/>
      <rgbColor rgb="FFFFCC99"/>
      <rgbColor rgb="FF3366FF"/>
      <rgbColor rgb="FF33CCCC"/>
      <rgbColor rgb="FF99CC00"/>
      <rgbColor rgb="FFFFCC00"/>
      <rgbColor rgb="FFFF9900"/>
      <rgbColor rgb="FFFF6600"/>
      <rgbColor rgb="FF666666"/>
      <rgbColor rgb="FF999999"/>
      <rgbColor rgb="FF1A3A5F"/>
      <rgbColor rgb="FF339966"/>
      <rgbColor rgb="FF003300"/>
      <rgbColor rgb="FF333300"/>
      <rgbColor rgb="FFB03A2E"/>
      <rgbColor rgb="FF993366"/>
      <rgbColor rgb="FF333399"/>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Solar+BESS, BTM $60</a:t>
            </a:r>
          </a:p>
        </c:rich>
      </c:tx>
      <c:overlay val="0"/>
      <c:spPr>
        <a:noFill/>
        <a:ln w="0">
          <a:noFill/>
        </a:ln>
      </c:spPr>
    </c:title>
    <c:autoTitleDeleted val="0"/>
    <c:plotArea>
      <c:layout/>
      <c:lineChart>
        <c:grouping val="standard"/>
        <c:varyColors val="0"/>
        <c:ser>
          <c:idx val="0"/>
          <c:order val="0"/>
          <c:tx>
            <c:v>Baseline, ITC 30%</c:v>
          </c:tx>
          <c:spPr>
            <a:ln w="21960">
              <a:solidFill>
                <a:srgbClr val="7A7A7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Fig2_Breakeven!$D$5:$D$12</c:f>
              <c:numCache>
                <c:formatCode>0.0%</c:formatCode>
                <c:ptCount val="8"/>
                <c:pt idx="0">
                  <c:v>9.2040598244205005E-2</c:v>
                </c:pt>
                <c:pt idx="1">
                  <c:v>6.98204289185647E-2</c:v>
                </c:pt>
                <c:pt idx="2">
                  <c:v>5.3561747140833803E-2</c:v>
                </c:pt>
                <c:pt idx="3">
                  <c:v>4.0713705356120802E-2</c:v>
                </c:pt>
                <c:pt idx="4">
                  <c:v>2.6138602083648502E-2</c:v>
                </c:pt>
                <c:pt idx="5">
                  <c:v>1.3974171520349601E-2</c:v>
                </c:pt>
                <c:pt idx="6">
                  <c:v>3.3881237218611501E-3</c:v>
                </c:pt>
                <c:pt idx="7">
                  <c:v>-6.1327493511537101E-3</c:v>
                </c:pt>
              </c:numCache>
            </c:numRef>
          </c:val>
          <c:smooth val="0"/>
          <c:extLst>
            <c:ext xmlns:c16="http://schemas.microsoft.com/office/drawing/2014/chart" uri="{C3380CC4-5D6E-409C-BE32-E72D297353CC}">
              <c16:uniqueId val="{00000000-0C09-7E4F-A843-60129E2453BE}"/>
            </c:ext>
          </c:extLst>
        </c:ser>
        <c:ser>
          <c:idx val="1"/>
          <c:order val="1"/>
          <c:tx>
            <c:v>Co-location, ITC 30%</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Fig2_Breakeven!$E$5:$E$12</c:f>
              <c:numCache>
                <c:formatCode>0.0%</c:formatCode>
                <c:ptCount val="8"/>
                <c:pt idx="0">
                  <c:v>5.2337812445392803E-2</c:v>
                </c:pt>
                <c:pt idx="1">
                  <c:v>4.9346081471352402E-2</c:v>
                </c:pt>
                <c:pt idx="2">
                  <c:v>4.6605391818655299E-2</c:v>
                </c:pt>
                <c:pt idx="3">
                  <c:v>4.40705771665479E-2</c:v>
                </c:pt>
                <c:pt idx="4">
                  <c:v>4.0790137865693202E-2</c:v>
                </c:pt>
                <c:pt idx="5">
                  <c:v>3.77261662971611E-2</c:v>
                </c:pt>
                <c:pt idx="6">
                  <c:v>3.4838777959435699E-2</c:v>
                </c:pt>
                <c:pt idx="7">
                  <c:v>3.2095807705714498E-2</c:v>
                </c:pt>
              </c:numCache>
            </c:numRef>
          </c:val>
          <c:smooth val="0"/>
          <c:extLst>
            <c:ext xmlns:c16="http://schemas.microsoft.com/office/drawing/2014/chart" uri="{C3380CC4-5D6E-409C-BE32-E72D297353CC}">
              <c16:uniqueId val="{00000001-0C09-7E4F-A843-60129E2453BE}"/>
            </c:ext>
          </c:extLst>
        </c:ser>
        <c:ser>
          <c:idx val="2"/>
          <c:order val="2"/>
          <c:tx>
            <c:v>Baseline, ITC 0%</c:v>
          </c:tx>
          <c:spPr>
            <a:ln w="21960">
              <a:solidFill>
                <a:srgbClr val="7A7A7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Fig2_Breakeven!$D$13:$D$20</c:f>
              <c:numCache>
                <c:formatCode>0.0%</c:formatCode>
                <c:ptCount val="8"/>
                <c:pt idx="0">
                  <c:v>-1.7275321257077499E-3</c:v>
                </c:pt>
                <c:pt idx="1">
                  <c:v>-8.3739762280490293E-3</c:v>
                </c:pt>
                <c:pt idx="2">
                  <c:v>-1.44262609401478E-2</c:v>
                </c:pt>
                <c:pt idx="3">
                  <c:v>-2.0056428068836899E-2</c:v>
                </c:pt>
                <c:pt idx="4">
                  <c:v>-2.5388715132097801E-2</c:v>
                </c:pt>
                <c:pt idx="5">
                  <c:v>-3.05182541349488E-2</c:v>
                </c:pt>
                <c:pt idx="6">
                  <c:v>-3.5522183234594197E-2</c:v>
                </c:pt>
                <c:pt idx="7">
                  <c:v>-4.0466795370723799E-2</c:v>
                </c:pt>
              </c:numCache>
            </c:numRef>
          </c:val>
          <c:smooth val="0"/>
          <c:extLst>
            <c:ext xmlns:c16="http://schemas.microsoft.com/office/drawing/2014/chart" uri="{C3380CC4-5D6E-409C-BE32-E72D297353CC}">
              <c16:uniqueId val="{00000002-0C09-7E4F-A843-60129E2453BE}"/>
            </c:ext>
          </c:extLst>
        </c:ser>
        <c:ser>
          <c:idx val="3"/>
          <c:order val="3"/>
          <c:tx>
            <c:v>Co-location, ITC 0%</c:v>
          </c:tx>
          <c:spPr>
            <a:ln w="21960">
              <a:solidFill>
                <a:srgbClr val="1A5C3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Fig2_Breakeven!$E$13:$E$20</c:f>
              <c:numCache>
                <c:formatCode>0.0%</c:formatCode>
                <c:ptCount val="8"/>
                <c:pt idx="0">
                  <c:v>-1.00834131741863E-2</c:v>
                </c:pt>
                <c:pt idx="1">
                  <c:v>-1.1432200866456599E-2</c:v>
                </c:pt>
                <c:pt idx="2">
                  <c:v>-1.2763465058934199E-2</c:v>
                </c:pt>
                <c:pt idx="3">
                  <c:v>-1.40827227996582E-2</c:v>
                </c:pt>
                <c:pt idx="4">
                  <c:v>-1.53951701009822E-2</c:v>
                </c:pt>
                <c:pt idx="5">
                  <c:v>-1.6705800400817501E-2</c:v>
                </c:pt>
                <c:pt idx="6">
                  <c:v>-1.8019510877385601E-2</c:v>
                </c:pt>
                <c:pt idx="7">
                  <c:v>-1.9341202487183701E-2</c:v>
                </c:pt>
              </c:numCache>
            </c:numRef>
          </c:val>
          <c:smooth val="0"/>
          <c:extLst>
            <c:ext xmlns:c16="http://schemas.microsoft.com/office/drawing/2014/chart" uri="{C3380CC4-5D6E-409C-BE32-E72D297353CC}">
              <c16:uniqueId val="{00000003-0C09-7E4F-A843-60129E2453BE}"/>
            </c:ext>
          </c:extLst>
        </c:ser>
        <c:dLbls>
          <c:showLegendKey val="0"/>
          <c:showVal val="0"/>
          <c:showCatName val="0"/>
          <c:showSerName val="0"/>
          <c:showPercent val="0"/>
          <c:showBubbleSize val="0"/>
        </c:dLbls>
        <c:hiLowLines>
          <c:spPr>
            <a:ln w="0">
              <a:noFill/>
            </a:ln>
          </c:spPr>
        </c:hiLowLines>
        <c:smooth val="0"/>
        <c:axId val="86360018"/>
        <c:axId val="45530454"/>
      </c:lineChart>
      <c:catAx>
        <c:axId val="86360018"/>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Queue wait (yr)</a:t>
                </a:r>
              </a:p>
            </c:rich>
          </c:tx>
          <c:overlay val="0"/>
          <c:spPr>
            <a:noFill/>
            <a:ln w="0">
              <a:noFill/>
            </a:ln>
          </c:spPr>
        </c:title>
        <c:numFmt formatCode="General" sourceLinked="0"/>
        <c:majorTickMark val="none"/>
        <c:minorTickMark val="none"/>
        <c:tickLblPos val="low"/>
        <c:spPr>
          <a:ln w="0">
            <a:solidFill>
              <a:srgbClr val="B3B3B3"/>
            </a:solidFill>
          </a:ln>
        </c:spPr>
        <c:txPr>
          <a:bodyPr/>
          <a:lstStyle/>
          <a:p>
            <a:pPr>
              <a:defRPr sz="800" b="0" strike="noStrike" spc="-1">
                <a:solidFill>
                  <a:srgbClr val="000000"/>
                </a:solidFill>
                <a:latin typeface="Calibri"/>
              </a:defRPr>
            </a:pPr>
            <a:endParaRPr lang="zh-CN"/>
          </a:p>
        </c:txPr>
        <c:crossAx val="45530454"/>
        <c:crosses val="autoZero"/>
        <c:auto val="1"/>
        <c:lblAlgn val="ctr"/>
        <c:lblOffset val="100"/>
        <c:noMultiLvlLbl val="0"/>
      </c:catAx>
      <c:valAx>
        <c:axId val="45530454"/>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Levered IRR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86360018"/>
        <c:crosses val="autoZero"/>
        <c:crossBetween val="between"/>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Wind+BESS, BTM $60</a:t>
            </a:r>
          </a:p>
        </c:rich>
      </c:tx>
      <c:overlay val="0"/>
      <c:spPr>
        <a:noFill/>
        <a:ln w="0">
          <a:noFill/>
        </a:ln>
      </c:spPr>
    </c:title>
    <c:autoTitleDeleted val="0"/>
    <c:plotArea>
      <c:layout/>
      <c:lineChart>
        <c:grouping val="standard"/>
        <c:varyColors val="0"/>
        <c:ser>
          <c:idx val="0"/>
          <c:order val="0"/>
          <c:tx>
            <c:v>Baseline, ITC 30%</c:v>
          </c:tx>
          <c:spPr>
            <a:ln w="21960">
              <a:solidFill>
                <a:srgbClr val="7A7A7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Fig2_Breakeven!$F$5:$F$12</c:f>
              <c:numCache>
                <c:formatCode>0.0%</c:formatCode>
                <c:ptCount val="8"/>
                <c:pt idx="0">
                  <c:v>0.14262313724046799</c:v>
                </c:pt>
                <c:pt idx="1">
                  <c:v>0.113286348313291</c:v>
                </c:pt>
                <c:pt idx="2">
                  <c:v>9.2469993239355994E-2</c:v>
                </c:pt>
                <c:pt idx="3">
                  <c:v>7.6471682370846505E-2</c:v>
                </c:pt>
                <c:pt idx="4">
                  <c:v>5.8749788613707603E-2</c:v>
                </c:pt>
                <c:pt idx="5">
                  <c:v>4.4269679052886E-2</c:v>
                </c:pt>
                <c:pt idx="6">
                  <c:v>3.1912461440349899E-2</c:v>
                </c:pt>
                <c:pt idx="7">
                  <c:v>2.0995618942204902E-2</c:v>
                </c:pt>
              </c:numCache>
            </c:numRef>
          </c:val>
          <c:smooth val="0"/>
          <c:extLst>
            <c:ext xmlns:c16="http://schemas.microsoft.com/office/drawing/2014/chart" uri="{C3380CC4-5D6E-409C-BE32-E72D297353CC}">
              <c16:uniqueId val="{00000000-EB25-2A4F-B54B-8E04B25FF322}"/>
            </c:ext>
          </c:extLst>
        </c:ser>
        <c:ser>
          <c:idx val="1"/>
          <c:order val="1"/>
          <c:tx>
            <c:v>Co-location, ITC 30%</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Fig2_Breakeven!$G$5:$G$12</c:f>
              <c:numCache>
                <c:formatCode>0.0%</c:formatCode>
                <c:ptCount val="8"/>
                <c:pt idx="0">
                  <c:v>0.11696154716009401</c:v>
                </c:pt>
                <c:pt idx="1">
                  <c:v>0.11065833379069</c:v>
                </c:pt>
                <c:pt idx="2">
                  <c:v>0.10527766932600099</c:v>
                </c:pt>
                <c:pt idx="3">
                  <c:v>0.10059926567789</c:v>
                </c:pt>
                <c:pt idx="4">
                  <c:v>9.4874732139890006E-2</c:v>
                </c:pt>
                <c:pt idx="5">
                  <c:v>8.9795055081825198E-2</c:v>
                </c:pt>
                <c:pt idx="6">
                  <c:v>8.5225855566684702E-2</c:v>
                </c:pt>
                <c:pt idx="7">
                  <c:v>8.1067711773081599E-2</c:v>
                </c:pt>
              </c:numCache>
            </c:numRef>
          </c:val>
          <c:smooth val="0"/>
          <c:extLst>
            <c:ext xmlns:c16="http://schemas.microsoft.com/office/drawing/2014/chart" uri="{C3380CC4-5D6E-409C-BE32-E72D297353CC}">
              <c16:uniqueId val="{00000001-EB25-2A4F-B54B-8E04B25FF322}"/>
            </c:ext>
          </c:extLst>
        </c:ser>
        <c:ser>
          <c:idx val="2"/>
          <c:order val="2"/>
          <c:tx>
            <c:v>Baseline, ITC 0%</c:v>
          </c:tx>
          <c:spPr>
            <a:ln w="21960">
              <a:solidFill>
                <a:srgbClr val="7A7A7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Fig2_Breakeven!$F$13:$F$20</c:f>
              <c:numCache>
                <c:formatCode>0.0%</c:formatCode>
                <c:ptCount val="8"/>
                <c:pt idx="0">
                  <c:v>2.2755932416587601E-2</c:v>
                </c:pt>
                <c:pt idx="1">
                  <c:v>1.4883522367357399E-2</c:v>
                </c:pt>
                <c:pt idx="2">
                  <c:v>7.8681942768208408E-3</c:v>
                </c:pt>
                <c:pt idx="3">
                  <c:v>1.46224480440327E-3</c:v>
                </c:pt>
                <c:pt idx="4">
                  <c:v>-4.5063062090757696E-3</c:v>
                </c:pt>
                <c:pt idx="5">
                  <c:v>-1.01641321803625E-2</c:v>
                </c:pt>
                <c:pt idx="6">
                  <c:v>-1.56099016430622E-2</c:v>
                </c:pt>
                <c:pt idx="7">
                  <c:v>-2.0924905109739302E-2</c:v>
                </c:pt>
              </c:numCache>
            </c:numRef>
          </c:val>
          <c:smooth val="0"/>
          <c:extLst>
            <c:ext xmlns:c16="http://schemas.microsoft.com/office/drawing/2014/chart" uri="{C3380CC4-5D6E-409C-BE32-E72D297353CC}">
              <c16:uniqueId val="{00000002-EB25-2A4F-B54B-8E04B25FF322}"/>
            </c:ext>
          </c:extLst>
        </c:ser>
        <c:ser>
          <c:idx val="3"/>
          <c:order val="3"/>
          <c:tx>
            <c:v>Co-location, ITC 0%</c:v>
          </c:tx>
          <c:spPr>
            <a:ln w="21960">
              <a:solidFill>
                <a:srgbClr val="1A5C3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Fig2_Breakeven!$G$13:$G$20</c:f>
              <c:numCache>
                <c:formatCode>0.0%</c:formatCode>
                <c:ptCount val="8"/>
                <c:pt idx="0">
                  <c:v>1.3396892092234099E-2</c:v>
                </c:pt>
                <c:pt idx="1">
                  <c:v>1.1611444941976599E-2</c:v>
                </c:pt>
                <c:pt idx="2">
                  <c:v>9.8906467156196793E-3</c:v>
                </c:pt>
                <c:pt idx="3">
                  <c:v>8.2230452505354101E-3</c:v>
                </c:pt>
                <c:pt idx="4">
                  <c:v>6.5987149868684796E-3</c:v>
                </c:pt>
                <c:pt idx="5">
                  <c:v>5.0088824622400701E-3</c:v>
                </c:pt>
                <c:pt idx="6">
                  <c:v>3.4456353323555301E-3</c:v>
                </c:pt>
                <c:pt idx="7">
                  <c:v>1.90168883060493E-3</c:v>
                </c:pt>
              </c:numCache>
            </c:numRef>
          </c:val>
          <c:smooth val="0"/>
          <c:extLst>
            <c:ext xmlns:c16="http://schemas.microsoft.com/office/drawing/2014/chart" uri="{C3380CC4-5D6E-409C-BE32-E72D297353CC}">
              <c16:uniqueId val="{00000003-EB25-2A4F-B54B-8E04B25FF322}"/>
            </c:ext>
          </c:extLst>
        </c:ser>
        <c:dLbls>
          <c:showLegendKey val="0"/>
          <c:showVal val="0"/>
          <c:showCatName val="0"/>
          <c:showSerName val="0"/>
          <c:showPercent val="0"/>
          <c:showBubbleSize val="0"/>
        </c:dLbls>
        <c:hiLowLines>
          <c:spPr>
            <a:ln w="0">
              <a:noFill/>
            </a:ln>
          </c:spPr>
        </c:hiLowLines>
        <c:smooth val="0"/>
        <c:axId val="28158203"/>
        <c:axId val="50980812"/>
      </c:lineChart>
      <c:catAx>
        <c:axId val="28158203"/>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Queue wait (yr)</a:t>
                </a:r>
              </a:p>
            </c:rich>
          </c:tx>
          <c:overlay val="0"/>
          <c:spPr>
            <a:noFill/>
            <a:ln w="0">
              <a:noFill/>
            </a:ln>
          </c:spPr>
        </c:title>
        <c:numFmt formatCode="General" sourceLinked="0"/>
        <c:majorTickMark val="none"/>
        <c:minorTickMark val="none"/>
        <c:tickLblPos val="low"/>
        <c:spPr>
          <a:ln w="0">
            <a:solidFill>
              <a:srgbClr val="B3B3B3"/>
            </a:solidFill>
          </a:ln>
        </c:spPr>
        <c:txPr>
          <a:bodyPr/>
          <a:lstStyle/>
          <a:p>
            <a:pPr>
              <a:defRPr sz="800" b="0" strike="noStrike" spc="-1">
                <a:solidFill>
                  <a:srgbClr val="000000"/>
                </a:solidFill>
                <a:latin typeface="Calibri"/>
              </a:defRPr>
            </a:pPr>
            <a:endParaRPr lang="zh-CN"/>
          </a:p>
        </c:txPr>
        <c:crossAx val="50980812"/>
        <c:crosses val="autoZero"/>
        <c:auto val="1"/>
        <c:lblAlgn val="ctr"/>
        <c:lblOffset val="100"/>
        <c:noMultiLvlLbl val="0"/>
      </c:catAx>
      <c:valAx>
        <c:axId val="50980812"/>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Levered IRR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28158203"/>
        <c:crosses val="autoZero"/>
        <c:crossBetween val="between"/>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Geothermal+BESS, BTM $60</a:t>
            </a:r>
          </a:p>
        </c:rich>
      </c:tx>
      <c:overlay val="0"/>
      <c:spPr>
        <a:noFill/>
        <a:ln w="0">
          <a:noFill/>
        </a:ln>
      </c:spPr>
    </c:title>
    <c:autoTitleDeleted val="0"/>
    <c:plotArea>
      <c:layout/>
      <c:lineChart>
        <c:grouping val="standard"/>
        <c:varyColors val="0"/>
        <c:ser>
          <c:idx val="0"/>
          <c:order val="0"/>
          <c:tx>
            <c:v>Baseline, ITC 30%</c:v>
          </c:tx>
          <c:spPr>
            <a:ln w="21960">
              <a:solidFill>
                <a:srgbClr val="7A7A7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Fig2_Breakeven!$H$5:$H$12</c:f>
              <c:numCache>
                <c:formatCode>0.0%</c:formatCode>
                <c:ptCount val="8"/>
                <c:pt idx="0">
                  <c:v>0.19217083097184601</c:v>
                </c:pt>
                <c:pt idx="1">
                  <c:v>0.15717650879171299</c:v>
                </c:pt>
                <c:pt idx="2">
                  <c:v>0.133523943567287</c:v>
                </c:pt>
                <c:pt idx="3">
                  <c:v>0.116138196367873</c:v>
                </c:pt>
                <c:pt idx="4">
                  <c:v>9.7673895384663895E-2</c:v>
                </c:pt>
                <c:pt idx="5">
                  <c:v>8.3195995812037196E-2</c:v>
                </c:pt>
                <c:pt idx="6">
                  <c:v>7.1317754456336799E-2</c:v>
                </c:pt>
                <c:pt idx="7">
                  <c:v>6.1220658858474497E-2</c:v>
                </c:pt>
              </c:numCache>
            </c:numRef>
          </c:val>
          <c:smooth val="0"/>
          <c:extLst>
            <c:ext xmlns:c16="http://schemas.microsoft.com/office/drawing/2014/chart" uri="{C3380CC4-5D6E-409C-BE32-E72D297353CC}">
              <c16:uniqueId val="{00000000-6CA6-C948-A76D-B57B9BF69E0A}"/>
            </c:ext>
          </c:extLst>
        </c:ser>
        <c:ser>
          <c:idx val="1"/>
          <c:order val="1"/>
          <c:tx>
            <c:v>Co-location, ITC 30%</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Fig2_Breakeven!$I$5:$I$12</c:f>
              <c:numCache>
                <c:formatCode>0.0%</c:formatCode>
                <c:ptCount val="8"/>
                <c:pt idx="0">
                  <c:v>0.209134055390583</c:v>
                </c:pt>
                <c:pt idx="1">
                  <c:v>0.20063725945768801</c:v>
                </c:pt>
                <c:pt idx="2">
                  <c:v>0.19382366780697</c:v>
                </c:pt>
                <c:pt idx="3">
                  <c:v>0.18824895028083399</c:v>
                </c:pt>
                <c:pt idx="4">
                  <c:v>0.18181077985559199</c:v>
                </c:pt>
                <c:pt idx="5">
                  <c:v>0.17640839967091099</c:v>
                </c:pt>
                <c:pt idx="6">
                  <c:v>0.171820542247138</c:v>
                </c:pt>
                <c:pt idx="7">
                  <c:v>0.16788710030141901</c:v>
                </c:pt>
              </c:numCache>
            </c:numRef>
          </c:val>
          <c:smooth val="0"/>
          <c:extLst>
            <c:ext xmlns:c16="http://schemas.microsoft.com/office/drawing/2014/chart" uri="{C3380CC4-5D6E-409C-BE32-E72D297353CC}">
              <c16:uniqueId val="{00000001-6CA6-C948-A76D-B57B9BF69E0A}"/>
            </c:ext>
          </c:extLst>
        </c:ser>
        <c:ser>
          <c:idx val="2"/>
          <c:order val="2"/>
          <c:tx>
            <c:v>Baseline, ITC 0%</c:v>
          </c:tx>
          <c:spPr>
            <a:ln w="21960">
              <a:solidFill>
                <a:srgbClr val="7A7A7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Fig2_Breakeven!$H$13:$H$20</c:f>
              <c:numCache>
                <c:formatCode>0.0%</c:formatCode>
                <c:ptCount val="8"/>
                <c:pt idx="0">
                  <c:v>5.47894044462989E-2</c:v>
                </c:pt>
                <c:pt idx="1">
                  <c:v>4.6933154354465302E-2</c:v>
                </c:pt>
                <c:pt idx="2">
                  <c:v>4.0168874569359102E-2</c:v>
                </c:pt>
                <c:pt idx="3">
                  <c:v>3.4190215165419202E-2</c:v>
                </c:pt>
                <c:pt idx="4">
                  <c:v>2.8794142838249399E-2</c:v>
                </c:pt>
                <c:pt idx="5">
                  <c:v>2.38387358367389E-2</c:v>
                </c:pt>
                <c:pt idx="6">
                  <c:v>1.9220229142305999E-2</c:v>
                </c:pt>
                <c:pt idx="7">
                  <c:v>1.48596517230939E-2</c:v>
                </c:pt>
              </c:numCache>
            </c:numRef>
          </c:val>
          <c:smooth val="0"/>
          <c:extLst>
            <c:ext xmlns:c16="http://schemas.microsoft.com/office/drawing/2014/chart" uri="{C3380CC4-5D6E-409C-BE32-E72D297353CC}">
              <c16:uniqueId val="{00000002-6CA6-C948-A76D-B57B9BF69E0A}"/>
            </c:ext>
          </c:extLst>
        </c:ser>
        <c:ser>
          <c:idx val="3"/>
          <c:order val="3"/>
          <c:tx>
            <c:v>Co-location, ITC 0%</c:v>
          </c:tx>
          <c:spPr>
            <a:ln w="21960">
              <a:solidFill>
                <a:srgbClr val="1A5C3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Fig2_Breakeven!$I$13:$I$20</c:f>
              <c:numCache>
                <c:formatCode>0.0%</c:formatCode>
                <c:ptCount val="8"/>
                <c:pt idx="0">
                  <c:v>5.7348896582033897E-2</c:v>
                </c:pt>
                <c:pt idx="1">
                  <c:v>5.5660282447062899E-2</c:v>
                </c:pt>
                <c:pt idx="2">
                  <c:v>5.4094449584615401E-2</c:v>
                </c:pt>
                <c:pt idx="3">
                  <c:v>5.2634432294432799E-2</c:v>
                </c:pt>
                <c:pt idx="4">
                  <c:v>5.12663967111959E-2</c:v>
                </c:pt>
                <c:pt idx="5">
                  <c:v>4.9978913111814002E-2</c:v>
                </c:pt>
                <c:pt idx="6">
                  <c:v>4.8762427201041902E-2</c:v>
                </c:pt>
                <c:pt idx="7">
                  <c:v>4.7608868423207003E-2</c:v>
                </c:pt>
              </c:numCache>
            </c:numRef>
          </c:val>
          <c:smooth val="0"/>
          <c:extLst>
            <c:ext xmlns:c16="http://schemas.microsoft.com/office/drawing/2014/chart" uri="{C3380CC4-5D6E-409C-BE32-E72D297353CC}">
              <c16:uniqueId val="{00000003-6CA6-C948-A76D-B57B9BF69E0A}"/>
            </c:ext>
          </c:extLst>
        </c:ser>
        <c:dLbls>
          <c:showLegendKey val="0"/>
          <c:showVal val="0"/>
          <c:showCatName val="0"/>
          <c:showSerName val="0"/>
          <c:showPercent val="0"/>
          <c:showBubbleSize val="0"/>
        </c:dLbls>
        <c:hiLowLines>
          <c:spPr>
            <a:ln w="0">
              <a:noFill/>
            </a:ln>
          </c:spPr>
        </c:hiLowLines>
        <c:smooth val="0"/>
        <c:axId val="92124872"/>
        <c:axId val="52484181"/>
      </c:lineChart>
      <c:catAx>
        <c:axId val="9212487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Queue wait (yr)</a:t>
                </a:r>
              </a:p>
            </c:rich>
          </c:tx>
          <c:overlay val="0"/>
          <c:spPr>
            <a:noFill/>
            <a:ln w="0">
              <a:noFill/>
            </a:ln>
          </c:spPr>
        </c:title>
        <c:numFmt formatCode="General" sourceLinked="0"/>
        <c:majorTickMark val="none"/>
        <c:minorTickMark val="none"/>
        <c:tickLblPos val="low"/>
        <c:spPr>
          <a:ln w="0">
            <a:solidFill>
              <a:srgbClr val="B3B3B3"/>
            </a:solidFill>
          </a:ln>
        </c:spPr>
        <c:txPr>
          <a:bodyPr/>
          <a:lstStyle/>
          <a:p>
            <a:pPr>
              <a:defRPr sz="800" b="0" strike="noStrike" spc="-1">
                <a:solidFill>
                  <a:srgbClr val="000000"/>
                </a:solidFill>
                <a:latin typeface="Calibri"/>
              </a:defRPr>
            </a:pPr>
            <a:endParaRPr lang="zh-CN"/>
          </a:p>
        </c:txPr>
        <c:crossAx val="52484181"/>
        <c:crosses val="autoZero"/>
        <c:auto val="1"/>
        <c:lblAlgn val="ctr"/>
        <c:lblOffset val="100"/>
        <c:noMultiLvlLbl val="0"/>
      </c:catAx>
      <c:valAx>
        <c:axId val="52484181"/>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Levered IRR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92124872"/>
        <c:crosses val="autoZero"/>
        <c:crossBetween val="between"/>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Solar+BESS, BTM Model 4 price</a:t>
            </a:r>
          </a:p>
        </c:rich>
      </c:tx>
      <c:overlay val="0"/>
      <c:spPr>
        <a:noFill/>
        <a:ln w="0">
          <a:noFill/>
        </a:ln>
      </c:spPr>
    </c:title>
    <c:autoTitleDeleted val="0"/>
    <c:plotArea>
      <c:layout/>
      <c:lineChart>
        <c:grouping val="standard"/>
        <c:varyColors val="0"/>
        <c:ser>
          <c:idx val="0"/>
          <c:order val="0"/>
          <c:tx>
            <c:v>Baseline, ITC 30%</c:v>
          </c:tx>
          <c:spPr>
            <a:ln w="21960">
              <a:solidFill>
                <a:srgbClr val="7A7A7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Fig2_Breakeven!$D$21:$D$28</c:f>
              <c:numCache>
                <c:formatCode>0.0%</c:formatCode>
                <c:ptCount val="8"/>
                <c:pt idx="0">
                  <c:v>9.2040598244205005E-2</c:v>
                </c:pt>
                <c:pt idx="1">
                  <c:v>6.98204289185647E-2</c:v>
                </c:pt>
                <c:pt idx="2">
                  <c:v>5.3561747140833803E-2</c:v>
                </c:pt>
                <c:pt idx="3">
                  <c:v>4.0713705356120802E-2</c:v>
                </c:pt>
                <c:pt idx="4">
                  <c:v>2.6138602083648502E-2</c:v>
                </c:pt>
                <c:pt idx="5">
                  <c:v>1.3974171520349601E-2</c:v>
                </c:pt>
                <c:pt idx="6">
                  <c:v>3.3881237218611501E-3</c:v>
                </c:pt>
                <c:pt idx="7">
                  <c:v>-6.1327493511537101E-3</c:v>
                </c:pt>
              </c:numCache>
            </c:numRef>
          </c:val>
          <c:smooth val="0"/>
          <c:extLst>
            <c:ext xmlns:c16="http://schemas.microsoft.com/office/drawing/2014/chart" uri="{C3380CC4-5D6E-409C-BE32-E72D297353CC}">
              <c16:uniqueId val="{00000000-43B1-B648-9B3C-663389F0A11C}"/>
            </c:ext>
          </c:extLst>
        </c:ser>
        <c:ser>
          <c:idx val="1"/>
          <c:order val="1"/>
          <c:tx>
            <c:v>Co-location, ITC 30%</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Fig2_Breakeven!$E$21:$E$28</c:f>
              <c:numCache>
                <c:formatCode>0.0%</c:formatCode>
                <c:ptCount val="8"/>
                <c:pt idx="0">
                  <c:v>6.9830283858528699E-2</c:v>
                </c:pt>
                <c:pt idx="1">
                  <c:v>8.5551610318985297E-2</c:v>
                </c:pt>
                <c:pt idx="2">
                  <c:v>0.10197786018119499</c:v>
                </c:pt>
                <c:pt idx="3">
                  <c:v>0.117943230805293</c:v>
                </c:pt>
                <c:pt idx="4">
                  <c:v>0.13804291408814401</c:v>
                </c:pt>
                <c:pt idx="5">
                  <c:v>0.15492342802796699</c:v>
                </c:pt>
                <c:pt idx="6">
                  <c:v>0.168427528991202</c:v>
                </c:pt>
                <c:pt idx="7">
                  <c:v>0.178988047911737</c:v>
                </c:pt>
              </c:numCache>
            </c:numRef>
          </c:val>
          <c:smooth val="0"/>
          <c:extLst>
            <c:ext xmlns:c16="http://schemas.microsoft.com/office/drawing/2014/chart" uri="{C3380CC4-5D6E-409C-BE32-E72D297353CC}">
              <c16:uniqueId val="{00000001-43B1-B648-9B3C-663389F0A11C}"/>
            </c:ext>
          </c:extLst>
        </c:ser>
        <c:ser>
          <c:idx val="2"/>
          <c:order val="2"/>
          <c:tx>
            <c:v>Baseline, ITC 0%</c:v>
          </c:tx>
          <c:spPr>
            <a:ln w="21960">
              <a:solidFill>
                <a:srgbClr val="7A7A7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Fig2_Breakeven!$D$29:$D$36</c:f>
              <c:numCache>
                <c:formatCode>0.0%</c:formatCode>
                <c:ptCount val="8"/>
                <c:pt idx="0">
                  <c:v>-1.7275321257077499E-3</c:v>
                </c:pt>
                <c:pt idx="1">
                  <c:v>-8.3739762280490293E-3</c:v>
                </c:pt>
                <c:pt idx="2">
                  <c:v>-1.44262609401478E-2</c:v>
                </c:pt>
                <c:pt idx="3">
                  <c:v>-2.0056428068836899E-2</c:v>
                </c:pt>
                <c:pt idx="4">
                  <c:v>-2.5388715132097801E-2</c:v>
                </c:pt>
                <c:pt idx="5">
                  <c:v>-3.05182541349488E-2</c:v>
                </c:pt>
                <c:pt idx="6">
                  <c:v>-3.5522183234594197E-2</c:v>
                </c:pt>
                <c:pt idx="7">
                  <c:v>-4.0466795370723799E-2</c:v>
                </c:pt>
              </c:numCache>
            </c:numRef>
          </c:val>
          <c:smooth val="0"/>
          <c:extLst>
            <c:ext xmlns:c16="http://schemas.microsoft.com/office/drawing/2014/chart" uri="{C3380CC4-5D6E-409C-BE32-E72D297353CC}">
              <c16:uniqueId val="{00000002-43B1-B648-9B3C-663389F0A11C}"/>
            </c:ext>
          </c:extLst>
        </c:ser>
        <c:ser>
          <c:idx val="3"/>
          <c:order val="3"/>
          <c:tx>
            <c:v>Co-location, ITC 0%</c:v>
          </c:tx>
          <c:spPr>
            <a:ln w="21960">
              <a:solidFill>
                <a:srgbClr val="1A5C3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Fig2_Breakeven!$E$29:$E$36</c:f>
              <c:numCache>
                <c:formatCode>0.0%</c:formatCode>
                <c:ptCount val="8"/>
                <c:pt idx="0">
                  <c:v>-1.25089353825958E-3</c:v>
                </c:pt>
                <c:pt idx="1">
                  <c:v>7.14533103253956E-3</c:v>
                </c:pt>
                <c:pt idx="2">
                  <c:v>1.6393497488137902E-2</c:v>
                </c:pt>
                <c:pt idx="3">
                  <c:v>2.6268093028587899E-2</c:v>
                </c:pt>
                <c:pt idx="4">
                  <c:v>3.6405343104730897E-2</c:v>
                </c:pt>
                <c:pt idx="5">
                  <c:v>4.6372380453072903E-2</c:v>
                </c:pt>
                <c:pt idx="6">
                  <c:v>5.5775683327139502E-2</c:v>
                </c:pt>
                <c:pt idx="7">
                  <c:v>6.4344699146335005E-2</c:v>
                </c:pt>
              </c:numCache>
            </c:numRef>
          </c:val>
          <c:smooth val="0"/>
          <c:extLst>
            <c:ext xmlns:c16="http://schemas.microsoft.com/office/drawing/2014/chart" uri="{C3380CC4-5D6E-409C-BE32-E72D297353CC}">
              <c16:uniqueId val="{00000003-43B1-B648-9B3C-663389F0A11C}"/>
            </c:ext>
          </c:extLst>
        </c:ser>
        <c:dLbls>
          <c:showLegendKey val="0"/>
          <c:showVal val="0"/>
          <c:showCatName val="0"/>
          <c:showSerName val="0"/>
          <c:showPercent val="0"/>
          <c:showBubbleSize val="0"/>
        </c:dLbls>
        <c:hiLowLines>
          <c:spPr>
            <a:ln w="0">
              <a:noFill/>
            </a:ln>
          </c:spPr>
        </c:hiLowLines>
        <c:smooth val="0"/>
        <c:axId val="43982764"/>
        <c:axId val="736259"/>
      </c:lineChart>
      <c:catAx>
        <c:axId val="43982764"/>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Queue wait (yr)</a:t>
                </a:r>
              </a:p>
            </c:rich>
          </c:tx>
          <c:overlay val="0"/>
          <c:spPr>
            <a:noFill/>
            <a:ln w="0">
              <a:noFill/>
            </a:ln>
          </c:spPr>
        </c:title>
        <c:numFmt formatCode="General" sourceLinked="0"/>
        <c:majorTickMark val="none"/>
        <c:minorTickMark val="none"/>
        <c:tickLblPos val="low"/>
        <c:spPr>
          <a:ln w="0">
            <a:solidFill>
              <a:srgbClr val="B3B3B3"/>
            </a:solidFill>
          </a:ln>
        </c:spPr>
        <c:txPr>
          <a:bodyPr/>
          <a:lstStyle/>
          <a:p>
            <a:pPr>
              <a:defRPr sz="800" b="0" strike="noStrike" spc="-1">
                <a:solidFill>
                  <a:srgbClr val="000000"/>
                </a:solidFill>
                <a:latin typeface="Calibri"/>
              </a:defRPr>
            </a:pPr>
            <a:endParaRPr lang="zh-CN"/>
          </a:p>
        </c:txPr>
        <c:crossAx val="736259"/>
        <c:crosses val="autoZero"/>
        <c:auto val="1"/>
        <c:lblAlgn val="ctr"/>
        <c:lblOffset val="100"/>
        <c:noMultiLvlLbl val="0"/>
      </c:catAx>
      <c:valAx>
        <c:axId val="736259"/>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Levered IRR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43982764"/>
        <c:crosses val="autoZero"/>
        <c:crossBetween val="between"/>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Wind+BESS, BTM Model 4 price</a:t>
            </a:r>
          </a:p>
        </c:rich>
      </c:tx>
      <c:overlay val="0"/>
      <c:spPr>
        <a:noFill/>
        <a:ln w="0">
          <a:noFill/>
        </a:ln>
      </c:spPr>
    </c:title>
    <c:autoTitleDeleted val="0"/>
    <c:plotArea>
      <c:layout/>
      <c:lineChart>
        <c:grouping val="standard"/>
        <c:varyColors val="0"/>
        <c:ser>
          <c:idx val="0"/>
          <c:order val="0"/>
          <c:tx>
            <c:v>Baseline, ITC 30%</c:v>
          </c:tx>
          <c:spPr>
            <a:ln w="21960">
              <a:solidFill>
                <a:srgbClr val="7A7A7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Fig2_Breakeven!$F$21:$F$28</c:f>
              <c:numCache>
                <c:formatCode>0.0%</c:formatCode>
                <c:ptCount val="8"/>
                <c:pt idx="0">
                  <c:v>0.14262313724046799</c:v>
                </c:pt>
                <c:pt idx="1">
                  <c:v>0.113286348313291</c:v>
                </c:pt>
                <c:pt idx="2">
                  <c:v>9.2469993239355994E-2</c:v>
                </c:pt>
                <c:pt idx="3">
                  <c:v>7.6471682370846505E-2</c:v>
                </c:pt>
                <c:pt idx="4">
                  <c:v>5.8749788613707603E-2</c:v>
                </c:pt>
                <c:pt idx="5">
                  <c:v>4.4269679052886E-2</c:v>
                </c:pt>
                <c:pt idx="6">
                  <c:v>3.1912461440349899E-2</c:v>
                </c:pt>
                <c:pt idx="7">
                  <c:v>2.0995618942204902E-2</c:v>
                </c:pt>
              </c:numCache>
            </c:numRef>
          </c:val>
          <c:smooth val="0"/>
          <c:extLst>
            <c:ext xmlns:c16="http://schemas.microsoft.com/office/drawing/2014/chart" uri="{C3380CC4-5D6E-409C-BE32-E72D297353CC}">
              <c16:uniqueId val="{00000000-9D5B-4043-9537-09E632BA88DC}"/>
            </c:ext>
          </c:extLst>
        </c:ser>
        <c:ser>
          <c:idx val="1"/>
          <c:order val="1"/>
          <c:tx>
            <c:v>Co-location, ITC 30%</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Fig2_Breakeven!$G$21:$G$28</c:f>
              <c:numCache>
                <c:formatCode>0.0%</c:formatCode>
                <c:ptCount val="8"/>
                <c:pt idx="0">
                  <c:v>0.155594560371452</c:v>
                </c:pt>
                <c:pt idx="1">
                  <c:v>0.18898242375379301</c:v>
                </c:pt>
                <c:pt idx="2">
                  <c:v>0.21965323580871399</c:v>
                </c:pt>
                <c:pt idx="3">
                  <c:v>0.244431978297178</c:v>
                </c:pt>
                <c:pt idx="4">
                  <c:v>0.26999325772334998</c:v>
                </c:pt>
                <c:pt idx="5">
                  <c:v>0.28799631113518598</c:v>
                </c:pt>
                <c:pt idx="6">
                  <c:v>0.30058497328299999</c:v>
                </c:pt>
                <c:pt idx="7">
                  <c:v>0.30943149925548402</c:v>
                </c:pt>
              </c:numCache>
            </c:numRef>
          </c:val>
          <c:smooth val="0"/>
          <c:extLst>
            <c:ext xmlns:c16="http://schemas.microsoft.com/office/drawing/2014/chart" uri="{C3380CC4-5D6E-409C-BE32-E72D297353CC}">
              <c16:uniqueId val="{00000001-9D5B-4043-9537-09E632BA88DC}"/>
            </c:ext>
          </c:extLst>
        </c:ser>
        <c:ser>
          <c:idx val="2"/>
          <c:order val="2"/>
          <c:tx>
            <c:v>Baseline, ITC 0%</c:v>
          </c:tx>
          <c:spPr>
            <a:ln w="21960">
              <a:solidFill>
                <a:srgbClr val="7A7A7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Fig2_Breakeven!$F$29:$F$36</c:f>
              <c:numCache>
                <c:formatCode>0.0%</c:formatCode>
                <c:ptCount val="8"/>
                <c:pt idx="0">
                  <c:v>2.2755932416587601E-2</c:v>
                </c:pt>
                <c:pt idx="1">
                  <c:v>1.4883522367357399E-2</c:v>
                </c:pt>
                <c:pt idx="2">
                  <c:v>7.8681942768208408E-3</c:v>
                </c:pt>
                <c:pt idx="3">
                  <c:v>1.46224480440327E-3</c:v>
                </c:pt>
                <c:pt idx="4">
                  <c:v>-4.5063062090757696E-3</c:v>
                </c:pt>
                <c:pt idx="5">
                  <c:v>-1.01641321803625E-2</c:v>
                </c:pt>
                <c:pt idx="6">
                  <c:v>-1.56099016430622E-2</c:v>
                </c:pt>
                <c:pt idx="7">
                  <c:v>-2.0924905109739302E-2</c:v>
                </c:pt>
              </c:numCache>
            </c:numRef>
          </c:val>
          <c:smooth val="0"/>
          <c:extLst>
            <c:ext xmlns:c16="http://schemas.microsoft.com/office/drawing/2014/chart" uri="{C3380CC4-5D6E-409C-BE32-E72D297353CC}">
              <c16:uniqueId val="{00000002-9D5B-4043-9537-09E632BA88DC}"/>
            </c:ext>
          </c:extLst>
        </c:ser>
        <c:ser>
          <c:idx val="3"/>
          <c:order val="3"/>
          <c:tx>
            <c:v>Co-location, ITC 0%</c:v>
          </c:tx>
          <c:spPr>
            <a:ln w="21960">
              <a:solidFill>
                <a:srgbClr val="1A5C3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Fig2_Breakeven!$G$29:$G$36</c:f>
              <c:numCache>
                <c:formatCode>0.0%</c:formatCode>
                <c:ptCount val="8"/>
                <c:pt idx="0">
                  <c:v>2.4351480094112501E-2</c:v>
                </c:pt>
                <c:pt idx="1">
                  <c:v>3.4464643355377897E-2</c:v>
                </c:pt>
                <c:pt idx="2">
                  <c:v>4.5379294914588801E-2</c:v>
                </c:pt>
                <c:pt idx="3">
                  <c:v>5.66879888596208E-2</c:v>
                </c:pt>
                <c:pt idx="4">
                  <c:v>6.7864284730967395E-2</c:v>
                </c:pt>
                <c:pt idx="5">
                  <c:v>7.8403877721406695E-2</c:v>
                </c:pt>
                <c:pt idx="6">
                  <c:v>8.7951231642426006E-2</c:v>
                </c:pt>
                <c:pt idx="7">
                  <c:v>9.6340738033044798E-2</c:v>
                </c:pt>
              </c:numCache>
            </c:numRef>
          </c:val>
          <c:smooth val="0"/>
          <c:extLst>
            <c:ext xmlns:c16="http://schemas.microsoft.com/office/drawing/2014/chart" uri="{C3380CC4-5D6E-409C-BE32-E72D297353CC}">
              <c16:uniqueId val="{00000003-9D5B-4043-9537-09E632BA88DC}"/>
            </c:ext>
          </c:extLst>
        </c:ser>
        <c:dLbls>
          <c:showLegendKey val="0"/>
          <c:showVal val="0"/>
          <c:showCatName val="0"/>
          <c:showSerName val="0"/>
          <c:showPercent val="0"/>
          <c:showBubbleSize val="0"/>
        </c:dLbls>
        <c:hiLowLines>
          <c:spPr>
            <a:ln w="0">
              <a:noFill/>
            </a:ln>
          </c:spPr>
        </c:hiLowLines>
        <c:smooth val="0"/>
        <c:axId val="38930821"/>
        <c:axId val="67722603"/>
      </c:lineChart>
      <c:catAx>
        <c:axId val="38930821"/>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Queue wait (yr)</a:t>
                </a:r>
              </a:p>
            </c:rich>
          </c:tx>
          <c:overlay val="0"/>
          <c:spPr>
            <a:noFill/>
            <a:ln w="0">
              <a:noFill/>
            </a:ln>
          </c:spPr>
        </c:title>
        <c:numFmt formatCode="General" sourceLinked="0"/>
        <c:majorTickMark val="none"/>
        <c:minorTickMark val="none"/>
        <c:tickLblPos val="low"/>
        <c:spPr>
          <a:ln w="0">
            <a:solidFill>
              <a:srgbClr val="B3B3B3"/>
            </a:solidFill>
          </a:ln>
        </c:spPr>
        <c:txPr>
          <a:bodyPr/>
          <a:lstStyle/>
          <a:p>
            <a:pPr>
              <a:defRPr sz="800" b="0" strike="noStrike" spc="-1">
                <a:solidFill>
                  <a:srgbClr val="000000"/>
                </a:solidFill>
                <a:latin typeface="Calibri"/>
              </a:defRPr>
            </a:pPr>
            <a:endParaRPr lang="zh-CN"/>
          </a:p>
        </c:txPr>
        <c:crossAx val="67722603"/>
        <c:crosses val="autoZero"/>
        <c:auto val="1"/>
        <c:lblAlgn val="ctr"/>
        <c:lblOffset val="100"/>
        <c:noMultiLvlLbl val="0"/>
      </c:catAx>
      <c:valAx>
        <c:axId val="67722603"/>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Levered IRR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38930821"/>
        <c:crosses val="autoZero"/>
        <c:crossBetween val="between"/>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Geothermal+BESS, BTM Model 4 price</a:t>
            </a:r>
          </a:p>
        </c:rich>
      </c:tx>
      <c:overlay val="0"/>
      <c:spPr>
        <a:noFill/>
        <a:ln w="0">
          <a:noFill/>
        </a:ln>
      </c:spPr>
    </c:title>
    <c:autoTitleDeleted val="0"/>
    <c:plotArea>
      <c:layout/>
      <c:lineChart>
        <c:grouping val="standard"/>
        <c:varyColors val="0"/>
        <c:ser>
          <c:idx val="0"/>
          <c:order val="0"/>
          <c:tx>
            <c:v>Baseline, ITC 30%</c:v>
          </c:tx>
          <c:spPr>
            <a:ln w="21960">
              <a:solidFill>
                <a:srgbClr val="7A7A7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Fig2_Breakeven!$H$21:$H$28</c:f>
              <c:numCache>
                <c:formatCode>0.0%</c:formatCode>
                <c:ptCount val="8"/>
                <c:pt idx="0">
                  <c:v>0.19217083097184601</c:v>
                </c:pt>
                <c:pt idx="1">
                  <c:v>0.15717650879171299</c:v>
                </c:pt>
                <c:pt idx="2">
                  <c:v>0.133523943567287</c:v>
                </c:pt>
                <c:pt idx="3">
                  <c:v>0.116138196367873</c:v>
                </c:pt>
                <c:pt idx="4">
                  <c:v>9.7673895384663895E-2</c:v>
                </c:pt>
                <c:pt idx="5">
                  <c:v>8.3195995812037196E-2</c:v>
                </c:pt>
                <c:pt idx="6">
                  <c:v>7.1317754456336799E-2</c:v>
                </c:pt>
                <c:pt idx="7">
                  <c:v>6.1220658858474497E-2</c:v>
                </c:pt>
              </c:numCache>
            </c:numRef>
          </c:val>
          <c:smooth val="0"/>
          <c:extLst>
            <c:ext xmlns:c16="http://schemas.microsoft.com/office/drawing/2014/chart" uri="{C3380CC4-5D6E-409C-BE32-E72D297353CC}">
              <c16:uniqueId val="{00000000-FEC4-EC48-81A5-72897A06BA64}"/>
            </c:ext>
          </c:extLst>
        </c:ser>
        <c:ser>
          <c:idx val="1"/>
          <c:order val="1"/>
          <c:tx>
            <c:v>Co-location, ITC 30%</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Fig2_Breakeven!$I$21:$I$28</c:f>
              <c:numCache>
                <c:formatCode>0.0%</c:formatCode>
                <c:ptCount val="8"/>
                <c:pt idx="0">
                  <c:v>0.25529907012536002</c:v>
                </c:pt>
                <c:pt idx="1">
                  <c:v>0.28701967177464899</c:v>
                </c:pt>
                <c:pt idx="2">
                  <c:v>0.31222545558562598</c:v>
                </c:pt>
                <c:pt idx="3">
                  <c:v>0.330819685549955</c:v>
                </c:pt>
                <c:pt idx="4">
                  <c:v>0.349064959649656</c:v>
                </c:pt>
                <c:pt idx="5">
                  <c:v>0.361585713467651</c:v>
                </c:pt>
                <c:pt idx="6">
                  <c:v>0.370170791731047</c:v>
                </c:pt>
                <c:pt idx="7">
                  <c:v>0.376086654752812</c:v>
                </c:pt>
              </c:numCache>
            </c:numRef>
          </c:val>
          <c:smooth val="0"/>
          <c:extLst>
            <c:ext xmlns:c16="http://schemas.microsoft.com/office/drawing/2014/chart" uri="{C3380CC4-5D6E-409C-BE32-E72D297353CC}">
              <c16:uniqueId val="{00000001-FEC4-EC48-81A5-72897A06BA64}"/>
            </c:ext>
          </c:extLst>
        </c:ser>
        <c:ser>
          <c:idx val="2"/>
          <c:order val="2"/>
          <c:tx>
            <c:v>Baseline, ITC 0%</c:v>
          </c:tx>
          <c:spPr>
            <a:ln w="21960">
              <a:solidFill>
                <a:srgbClr val="7A7A7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Fig2_Breakeven!$H$29:$H$36</c:f>
              <c:numCache>
                <c:formatCode>0.0%</c:formatCode>
                <c:ptCount val="8"/>
                <c:pt idx="0">
                  <c:v>5.47894044462989E-2</c:v>
                </c:pt>
                <c:pt idx="1">
                  <c:v>4.6933154354465302E-2</c:v>
                </c:pt>
                <c:pt idx="2">
                  <c:v>4.0168874569359102E-2</c:v>
                </c:pt>
                <c:pt idx="3">
                  <c:v>3.4190215165419202E-2</c:v>
                </c:pt>
                <c:pt idx="4">
                  <c:v>2.8794142838249399E-2</c:v>
                </c:pt>
                <c:pt idx="5">
                  <c:v>2.38387358367389E-2</c:v>
                </c:pt>
                <c:pt idx="6">
                  <c:v>1.9220229142305999E-2</c:v>
                </c:pt>
                <c:pt idx="7">
                  <c:v>1.48596517230939E-2</c:v>
                </c:pt>
              </c:numCache>
            </c:numRef>
          </c:val>
          <c:smooth val="0"/>
          <c:extLst>
            <c:ext xmlns:c16="http://schemas.microsoft.com/office/drawing/2014/chart" uri="{C3380CC4-5D6E-409C-BE32-E72D297353CC}">
              <c16:uniqueId val="{00000002-FEC4-EC48-81A5-72897A06BA64}"/>
            </c:ext>
          </c:extLst>
        </c:ser>
        <c:ser>
          <c:idx val="3"/>
          <c:order val="3"/>
          <c:tx>
            <c:v>Co-location, ITC 0%</c:v>
          </c:tx>
          <c:spPr>
            <a:ln w="21960">
              <a:solidFill>
                <a:srgbClr val="1A5C3A"/>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Fig2_Breakeven!$C$5:$C$12</c:f>
              <c:numCache>
                <c:formatCode>General</c:formatCode>
                <c:ptCount val="8"/>
                <c:pt idx="0">
                  <c:v>1</c:v>
                </c:pt>
                <c:pt idx="1">
                  <c:v>2</c:v>
                </c:pt>
                <c:pt idx="2">
                  <c:v>3</c:v>
                </c:pt>
                <c:pt idx="3">
                  <c:v>4</c:v>
                </c:pt>
                <c:pt idx="4">
                  <c:v>5</c:v>
                </c:pt>
                <c:pt idx="5">
                  <c:v>6</c:v>
                </c:pt>
                <c:pt idx="6">
                  <c:v>7</c:v>
                </c:pt>
                <c:pt idx="7">
                  <c:v>8</c:v>
                </c:pt>
              </c:numCache>
            </c:numRef>
          </c:cat>
          <c:val>
            <c:numRef>
              <c:f>Fig2_Breakeven!$I$29:$I$36</c:f>
              <c:numCache>
                <c:formatCode>0.0%</c:formatCode>
                <c:ptCount val="8"/>
                <c:pt idx="0">
                  <c:v>6.6824960664478406E-2</c:v>
                </c:pt>
                <c:pt idx="1">
                  <c:v>7.4790785166753804E-2</c:v>
                </c:pt>
                <c:pt idx="2">
                  <c:v>8.28650656905736E-2</c:v>
                </c:pt>
                <c:pt idx="3">
                  <c:v>9.0797403177545102E-2</c:v>
                </c:pt>
                <c:pt idx="4">
                  <c:v>9.8345473067706496E-2</c:v>
                </c:pt>
                <c:pt idx="5">
                  <c:v>0.10531815139786301</c:v>
                </c:pt>
                <c:pt idx="6">
                  <c:v>0.11159893909889</c:v>
                </c:pt>
                <c:pt idx="7">
                  <c:v>0.11714520245494101</c:v>
                </c:pt>
              </c:numCache>
            </c:numRef>
          </c:val>
          <c:smooth val="0"/>
          <c:extLst>
            <c:ext xmlns:c16="http://schemas.microsoft.com/office/drawing/2014/chart" uri="{C3380CC4-5D6E-409C-BE32-E72D297353CC}">
              <c16:uniqueId val="{00000003-FEC4-EC48-81A5-72897A06BA64}"/>
            </c:ext>
          </c:extLst>
        </c:ser>
        <c:dLbls>
          <c:showLegendKey val="0"/>
          <c:showVal val="0"/>
          <c:showCatName val="0"/>
          <c:showSerName val="0"/>
          <c:showPercent val="0"/>
          <c:showBubbleSize val="0"/>
        </c:dLbls>
        <c:hiLowLines>
          <c:spPr>
            <a:ln w="0">
              <a:noFill/>
            </a:ln>
          </c:spPr>
        </c:hiLowLines>
        <c:smooth val="0"/>
        <c:axId val="11990826"/>
        <c:axId val="81633317"/>
      </c:lineChart>
      <c:catAx>
        <c:axId val="11990826"/>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Queue wait (yr)</a:t>
                </a:r>
              </a:p>
            </c:rich>
          </c:tx>
          <c:overlay val="0"/>
          <c:spPr>
            <a:noFill/>
            <a:ln w="0">
              <a:noFill/>
            </a:ln>
          </c:spPr>
        </c:title>
        <c:numFmt formatCode="General" sourceLinked="0"/>
        <c:majorTickMark val="none"/>
        <c:minorTickMark val="none"/>
        <c:tickLblPos val="low"/>
        <c:spPr>
          <a:ln w="0">
            <a:solidFill>
              <a:srgbClr val="B3B3B3"/>
            </a:solidFill>
          </a:ln>
        </c:spPr>
        <c:txPr>
          <a:bodyPr/>
          <a:lstStyle/>
          <a:p>
            <a:pPr>
              <a:defRPr sz="800" b="0" strike="noStrike" spc="-1">
                <a:solidFill>
                  <a:srgbClr val="000000"/>
                </a:solidFill>
                <a:latin typeface="Calibri"/>
              </a:defRPr>
            </a:pPr>
            <a:endParaRPr lang="zh-CN"/>
          </a:p>
        </c:txPr>
        <c:crossAx val="81633317"/>
        <c:crosses val="autoZero"/>
        <c:auto val="1"/>
        <c:lblAlgn val="ctr"/>
        <c:lblOffset val="100"/>
        <c:noMultiLvlLbl val="0"/>
      </c:catAx>
      <c:valAx>
        <c:axId val="81633317"/>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Levered IRR</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11990826"/>
        <c:crosses val="autoZero"/>
        <c:crossBetween val="between"/>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BTM price bounds and mutually acceptable range ($/MWh)</a:t>
            </a:r>
          </a:p>
        </c:rich>
      </c:tx>
      <c:overlay val="0"/>
      <c:spPr>
        <a:noFill/>
        <a:ln w="0">
          <a:noFill/>
        </a:ln>
      </c:spPr>
    </c:title>
    <c:autoTitleDeleted val="0"/>
    <c:plotArea>
      <c:layout/>
      <c:barChart>
        <c:barDir val="bar"/>
        <c:grouping val="stacked"/>
        <c:varyColors val="0"/>
        <c:ser>
          <c:idx val="0"/>
          <c:order val="0"/>
          <c:tx>
            <c:v>Below floor</c:v>
          </c:tx>
          <c:spPr>
            <a:noFill/>
            <a:ln w="0">
              <a:noFill/>
            </a:ln>
          </c:spPr>
          <c:invertIfNegative val="0"/>
          <c:dLbls>
            <c:spPr>
              <a:noFill/>
              <a:ln>
                <a:noFill/>
              </a:ln>
              <a:effectLst/>
            </c:spPr>
            <c:txPr>
              <a:bodyPr wrap="square"/>
              <a:lstStyle/>
              <a:p>
                <a:pPr>
                  <a:defRPr sz="1000" b="0" strike="noStrike" spc="-1">
                    <a:solidFill>
                      <a:srgbClr val="000000"/>
                    </a:solidFill>
                    <a:latin typeface="Arial"/>
                  </a:defRPr>
                </a:pPr>
                <a:endParaRPr lang="zh-CN"/>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Fig3_Zone!$A$5:$A$7</c:f>
              <c:strCache>
                <c:ptCount val="3"/>
                <c:pt idx="0">
                  <c:v>Solar+BESS 100 MW</c:v>
                </c:pt>
                <c:pt idx="1">
                  <c:v>Wind+BESS 150 MW</c:v>
                </c:pt>
                <c:pt idx="2">
                  <c:v>Geothermal+BESS 100 MW</c:v>
                </c:pt>
              </c:strCache>
            </c:strRef>
          </c:cat>
          <c:val>
            <c:numRef>
              <c:f>Fig3_Zone!$G$5:$G$7</c:f>
              <c:numCache>
                <c:formatCode>\$#,##0.00</c:formatCode>
                <c:ptCount val="3"/>
                <c:pt idx="0">
                  <c:v>79.695070358761029</c:v>
                </c:pt>
                <c:pt idx="1">
                  <c:v>69.890035580022001</c:v>
                </c:pt>
                <c:pt idx="2">
                  <c:v>55.052334668338297</c:v>
                </c:pt>
              </c:numCache>
            </c:numRef>
          </c:val>
          <c:extLst>
            <c:ext xmlns:c16="http://schemas.microsoft.com/office/drawing/2014/chart" uri="{C3380CC4-5D6E-409C-BE32-E72D297353CC}">
              <c16:uniqueId val="{00000000-FC23-5F46-AEB0-168828792739}"/>
            </c:ext>
          </c:extLst>
        </c:ser>
        <c:ser>
          <c:idx val="1"/>
          <c:order val="1"/>
          <c:tx>
            <c:v>Mutually acceptable range</c:v>
          </c:tx>
          <c:spPr>
            <a:solidFill>
              <a:srgbClr val="8FBC8F"/>
            </a:solidFill>
            <a:ln w="0">
              <a:solidFill>
                <a:srgbClr val="8FBC8F"/>
              </a:solidFill>
            </a:ln>
          </c:spPr>
          <c:invertIfNegative val="0"/>
          <c:dLbls>
            <c:spPr>
              <a:noFill/>
              <a:ln>
                <a:noFill/>
              </a:ln>
              <a:effectLst/>
            </c:spPr>
            <c:txPr>
              <a:bodyPr wrap="square"/>
              <a:lstStyle/>
              <a:p>
                <a:pPr>
                  <a:defRPr sz="1000" b="0" strike="noStrike" spc="-1">
                    <a:solidFill>
                      <a:srgbClr val="000000"/>
                    </a:solidFill>
                    <a:latin typeface="Arial"/>
                  </a:defRPr>
                </a:pPr>
                <a:endParaRPr lang="zh-CN"/>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Fig3_Zone!$A$5:$A$7</c:f>
              <c:strCache>
                <c:ptCount val="3"/>
                <c:pt idx="0">
                  <c:v>Solar+BESS 100 MW</c:v>
                </c:pt>
                <c:pt idx="1">
                  <c:v>Wind+BESS 150 MW</c:v>
                </c:pt>
                <c:pt idx="2">
                  <c:v>Geothermal+BESS 100 MW</c:v>
                </c:pt>
              </c:strCache>
            </c:strRef>
          </c:cat>
          <c:val>
            <c:numRef>
              <c:f>Fig3_Zone!$H$5:$H$7</c:f>
              <c:numCache>
                <c:formatCode>\$#,##0.00</c:formatCode>
                <c:ptCount val="3"/>
                <c:pt idx="0">
                  <c:v>74.499059462103133</c:v>
                </c:pt>
                <c:pt idx="1">
                  <c:v>62.646575032957159</c:v>
                </c:pt>
                <c:pt idx="2">
                  <c:v>67.15603861146019</c:v>
                </c:pt>
              </c:numCache>
            </c:numRef>
          </c:val>
          <c:extLst>
            <c:ext xmlns:c16="http://schemas.microsoft.com/office/drawing/2014/chart" uri="{C3380CC4-5D6E-409C-BE32-E72D297353CC}">
              <c16:uniqueId val="{00000001-FC23-5F46-AEB0-168828792739}"/>
            </c:ext>
          </c:extLst>
        </c:ser>
        <c:ser>
          <c:idx val="2"/>
          <c:order val="2"/>
          <c:tx>
            <c:v>Rest of negotiation zone</c:v>
          </c:tx>
          <c:spPr>
            <a:solidFill>
              <a:srgbClr val="CCCCCC"/>
            </a:solidFill>
            <a:ln w="0">
              <a:solidFill>
                <a:srgbClr val="CCCCCC"/>
              </a:solidFill>
            </a:ln>
          </c:spPr>
          <c:invertIfNegative val="0"/>
          <c:dLbls>
            <c:spPr>
              <a:noFill/>
              <a:ln>
                <a:noFill/>
              </a:ln>
              <a:effectLst/>
            </c:spPr>
            <c:txPr>
              <a:bodyPr wrap="square"/>
              <a:lstStyle/>
              <a:p>
                <a:pPr>
                  <a:defRPr sz="1000" b="0" strike="noStrike" spc="-1">
                    <a:solidFill>
                      <a:srgbClr val="000000"/>
                    </a:solidFill>
                    <a:latin typeface="Arial"/>
                  </a:defRPr>
                </a:pPr>
                <a:endParaRPr lang="zh-CN"/>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Fig3_Zone!$A$5:$A$7</c:f>
              <c:strCache>
                <c:ptCount val="3"/>
                <c:pt idx="0">
                  <c:v>Solar+BESS 100 MW</c:v>
                </c:pt>
                <c:pt idx="1">
                  <c:v>Wind+BESS 150 MW</c:v>
                </c:pt>
                <c:pt idx="2">
                  <c:v>Geothermal+BESS 100 MW</c:v>
                </c:pt>
              </c:strCache>
            </c:strRef>
          </c:cat>
          <c:val>
            <c:numRef>
              <c:f>Fig3_Zone!$I$5:$I$7</c:f>
              <c:numCache>
                <c:formatCode>\$#,##0.00</c:formatCode>
                <c:ptCount val="3"/>
                <c:pt idx="0">
                  <c:v>8.6232837255589914</c:v>
                </c:pt>
                <c:pt idx="1">
                  <c:v>30.280802933443994</c:v>
                </c:pt>
                <c:pt idx="2">
                  <c:v>40.60904026662466</c:v>
                </c:pt>
              </c:numCache>
            </c:numRef>
          </c:val>
          <c:extLst>
            <c:ext xmlns:c16="http://schemas.microsoft.com/office/drawing/2014/chart" uri="{C3380CC4-5D6E-409C-BE32-E72D297353CC}">
              <c16:uniqueId val="{00000002-FC23-5F46-AEB0-168828792739}"/>
            </c:ext>
          </c:extLst>
        </c:ser>
        <c:dLbls>
          <c:showLegendKey val="0"/>
          <c:showVal val="0"/>
          <c:showCatName val="0"/>
          <c:showSerName val="0"/>
          <c:showPercent val="0"/>
          <c:showBubbleSize val="0"/>
        </c:dLbls>
        <c:gapWidth val="60"/>
        <c:overlap val="100"/>
        <c:axId val="86912850"/>
        <c:axId val="73997580"/>
      </c:barChart>
      <c:catAx>
        <c:axId val="86912850"/>
        <c:scaling>
          <c:orientation val="minMax"/>
        </c:scaling>
        <c:delete val="0"/>
        <c:axPos val="l"/>
        <c:numFmt formatCode="General" sourceLinked="0"/>
        <c:majorTickMark val="none"/>
        <c:minorTickMark val="none"/>
        <c:tickLblPos val="nextTo"/>
        <c:spPr>
          <a:ln w="0">
            <a:solidFill>
              <a:srgbClr val="B3B3B3"/>
            </a:solidFill>
          </a:ln>
        </c:spPr>
        <c:txPr>
          <a:bodyPr/>
          <a:lstStyle/>
          <a:p>
            <a:pPr>
              <a:defRPr sz="900" b="0" strike="noStrike" spc="-1">
                <a:solidFill>
                  <a:srgbClr val="000000"/>
                </a:solidFill>
                <a:latin typeface="Calibri"/>
              </a:defRPr>
            </a:pPr>
            <a:endParaRPr lang="zh-CN"/>
          </a:p>
        </c:txPr>
        <c:crossAx val="73997580"/>
        <c:crosses val="autoZero"/>
        <c:auto val="1"/>
        <c:lblAlgn val="ctr"/>
        <c:lblOffset val="100"/>
        <c:noMultiLvlLbl val="0"/>
      </c:catAx>
      <c:valAx>
        <c:axId val="73997580"/>
        <c:scaling>
          <c:orientation val="minMax"/>
          <c:max val="180"/>
        </c:scaling>
        <c:delete val="0"/>
        <c:axPos val="b"/>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$/MWh</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8691285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Solar+BESS</a:t>
            </a:r>
          </a:p>
        </c:rich>
      </c:tx>
      <c:overlay val="0"/>
      <c:spPr>
        <a:noFill/>
        <a:ln w="0">
          <a:noFill/>
        </a:ln>
      </c:spPr>
    </c:title>
    <c:autoTitleDeleted val="0"/>
    <c:plotArea>
      <c:layout/>
      <c:scatterChart>
        <c:scatterStyle val="lineMarker"/>
        <c:varyColors val="0"/>
        <c:ser>
          <c:idx val="0"/>
          <c:order val="0"/>
          <c:tx>
            <c:v>Developer levered IRR</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Fig4_Alpha!$B$5:$B$11</c:f>
              <c:numCache>
                <c:formatCode>0.0%</c:formatCode>
                <c:ptCount val="7"/>
                <c:pt idx="0">
                  <c:v>6.2704805373221095E-2</c:v>
                </c:pt>
                <c:pt idx="1">
                  <c:v>7.1890821707494598E-2</c:v>
                </c:pt>
                <c:pt idx="2">
                  <c:v>8.1970424451814003E-2</c:v>
                </c:pt>
                <c:pt idx="3">
                  <c:v>9.8876141227821096E-2</c:v>
                </c:pt>
                <c:pt idx="4">
                  <c:v>0.117943230805292</c:v>
                </c:pt>
                <c:pt idx="5">
                  <c:v>0.13896209526783199</c:v>
                </c:pt>
                <c:pt idx="6">
                  <c:v>0.16147569142799201</c:v>
                </c:pt>
              </c:numCache>
            </c:numRef>
          </c:yVal>
          <c:smooth val="0"/>
          <c:extLst>
            <c:ext xmlns:c16="http://schemas.microsoft.com/office/drawing/2014/chart" uri="{C3380CC4-5D6E-409C-BE32-E72D297353CC}">
              <c16:uniqueId val="{00000000-C7E2-B845-8C06-C24FE061E2D7}"/>
            </c:ext>
          </c:extLst>
        </c:ser>
        <c:ser>
          <c:idx val="1"/>
          <c:order val="1"/>
          <c:tx>
            <c:v>DC saving vs grid</c:v>
          </c:tx>
          <c:spPr>
            <a:ln w="21960">
              <a:solidFill>
                <a:srgbClr val="B03A2E"/>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Fig4_Alpha!$C$5:$C$11</c:f>
              <c:numCache>
                <c:formatCode>0.0%</c:formatCode>
                <c:ptCount val="7"/>
                <c:pt idx="0">
                  <c:v>0.33218457437992499</c:v>
                </c:pt>
                <c:pt idx="1">
                  <c:v>0.31743607737196999</c:v>
                </c:pt>
                <c:pt idx="2">
                  <c:v>0.302687580364014</c:v>
                </c:pt>
                <c:pt idx="3">
                  <c:v>0.280564834852081</c:v>
                </c:pt>
                <c:pt idx="4">
                  <c:v>0.25844208934014801</c:v>
                </c:pt>
                <c:pt idx="5">
                  <c:v>0.23631934382821501</c:v>
                </c:pt>
                <c:pt idx="6">
                  <c:v>0.21419659831628199</c:v>
                </c:pt>
              </c:numCache>
            </c:numRef>
          </c:yVal>
          <c:smooth val="0"/>
          <c:extLst>
            <c:ext xmlns:c16="http://schemas.microsoft.com/office/drawing/2014/chart" uri="{C3380CC4-5D6E-409C-BE32-E72D297353CC}">
              <c16:uniqueId val="{00000001-C7E2-B845-8C06-C24FE061E2D7}"/>
            </c:ext>
          </c:extLst>
        </c:ser>
        <c:ser>
          <c:idx val="2"/>
          <c:order val="2"/>
          <c:tx>
            <c:v>10% hurdle</c:v>
          </c:tx>
          <c:spPr>
            <a:ln w="11880">
              <a:solidFill>
                <a:srgbClr val="1A5C3A"/>
              </a:solidFill>
              <a:prstDash val="sysDot"/>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Fig4_Alpha!$H$5:$H$11</c:f>
              <c:numCache>
                <c:formatCode>0%</c:formatCode>
                <c:ptCount val="7"/>
                <c:pt idx="0">
                  <c:v>0.1</c:v>
                </c:pt>
                <c:pt idx="1">
                  <c:v>0.1</c:v>
                </c:pt>
                <c:pt idx="2">
                  <c:v>0.1</c:v>
                </c:pt>
                <c:pt idx="3">
                  <c:v>0.1</c:v>
                </c:pt>
                <c:pt idx="4">
                  <c:v>0.1</c:v>
                </c:pt>
                <c:pt idx="5">
                  <c:v>0.1</c:v>
                </c:pt>
                <c:pt idx="6">
                  <c:v>0.1</c:v>
                </c:pt>
              </c:numCache>
            </c:numRef>
          </c:yVal>
          <c:smooth val="0"/>
          <c:extLst>
            <c:ext xmlns:c16="http://schemas.microsoft.com/office/drawing/2014/chart" uri="{C3380CC4-5D6E-409C-BE32-E72D297353CC}">
              <c16:uniqueId val="{00000002-C7E2-B845-8C06-C24FE061E2D7}"/>
            </c:ext>
          </c:extLst>
        </c:ser>
        <c:ser>
          <c:idx val="3"/>
          <c:order val="3"/>
          <c:tx>
            <c:v>20% min saving</c:v>
          </c:tx>
          <c:spPr>
            <a:ln w="11880">
              <a:solidFill>
                <a:srgbClr val="B03A2E"/>
              </a:solidFill>
              <a:prstDash val="sysDot"/>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Fig4_Alpha!$I$5:$I$11</c:f>
              <c:numCache>
                <c:formatCode>0%</c:formatCode>
                <c:ptCount val="7"/>
                <c:pt idx="0">
                  <c:v>0.2</c:v>
                </c:pt>
                <c:pt idx="1">
                  <c:v>0.2</c:v>
                </c:pt>
                <c:pt idx="2">
                  <c:v>0.2</c:v>
                </c:pt>
                <c:pt idx="3">
                  <c:v>0.2</c:v>
                </c:pt>
                <c:pt idx="4">
                  <c:v>0.2</c:v>
                </c:pt>
                <c:pt idx="5">
                  <c:v>0.2</c:v>
                </c:pt>
                <c:pt idx="6">
                  <c:v>0.2</c:v>
                </c:pt>
              </c:numCache>
            </c:numRef>
          </c:yVal>
          <c:smooth val="0"/>
          <c:extLst>
            <c:ext xmlns:c16="http://schemas.microsoft.com/office/drawing/2014/chart" uri="{C3380CC4-5D6E-409C-BE32-E72D297353CC}">
              <c16:uniqueId val="{00000003-C7E2-B845-8C06-C24FE061E2D7}"/>
            </c:ext>
          </c:extLst>
        </c:ser>
        <c:dLbls>
          <c:showLegendKey val="0"/>
          <c:showVal val="0"/>
          <c:showCatName val="0"/>
          <c:showSerName val="0"/>
          <c:showPercent val="0"/>
          <c:showBubbleSize val="0"/>
        </c:dLbls>
        <c:axId val="7033747"/>
        <c:axId val="71560989"/>
      </c:scatterChart>
      <c:valAx>
        <c:axId val="7033747"/>
        <c:scaling>
          <c:orientation val="minMax"/>
          <c:max val="0.8"/>
          <c:min val="0"/>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Bargaining share α</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71560989"/>
        <c:crosses val="autoZero"/>
        <c:crossBetween val="midCat"/>
      </c:valAx>
      <c:valAx>
        <c:axId val="71560989"/>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Percent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7033747"/>
        <c:crosses val="autoZero"/>
        <c:crossBetween val="midCat"/>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Wind+BESS</a:t>
            </a:r>
          </a:p>
        </c:rich>
      </c:tx>
      <c:overlay val="0"/>
      <c:spPr>
        <a:noFill/>
        <a:ln w="0">
          <a:noFill/>
        </a:ln>
      </c:spPr>
    </c:title>
    <c:autoTitleDeleted val="0"/>
    <c:plotArea>
      <c:layout/>
      <c:scatterChart>
        <c:scatterStyle val="lineMarker"/>
        <c:varyColors val="0"/>
        <c:ser>
          <c:idx val="0"/>
          <c:order val="0"/>
          <c:tx>
            <c:v>Developer levered IRR</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Fig4_Alpha!$D$5:$D$11</c:f>
              <c:numCache>
                <c:formatCode>0.0%</c:formatCode>
                <c:ptCount val="7"/>
                <c:pt idx="0">
                  <c:v>0.11874048257165799</c:v>
                </c:pt>
                <c:pt idx="1">
                  <c:v>0.138701442442143</c:v>
                </c:pt>
                <c:pt idx="2">
                  <c:v>0.16164930590236901</c:v>
                </c:pt>
                <c:pt idx="3">
                  <c:v>0.20109878495119399</c:v>
                </c:pt>
                <c:pt idx="4">
                  <c:v>0.244431978297178</c:v>
                </c:pt>
                <c:pt idx="5">
                  <c:v>0.28879562955549198</c:v>
                </c:pt>
                <c:pt idx="6">
                  <c:v>0.33218360516850398</c:v>
                </c:pt>
              </c:numCache>
            </c:numRef>
          </c:yVal>
          <c:smooth val="0"/>
          <c:extLst>
            <c:ext xmlns:c16="http://schemas.microsoft.com/office/drawing/2014/chart" uri="{C3380CC4-5D6E-409C-BE32-E72D297353CC}">
              <c16:uniqueId val="{00000000-44CE-3D44-A4D8-D56110996B42}"/>
            </c:ext>
          </c:extLst>
        </c:ser>
        <c:ser>
          <c:idx val="1"/>
          <c:order val="1"/>
          <c:tx>
            <c:v>DC saving vs grid</c:v>
          </c:tx>
          <c:spPr>
            <a:ln w="21960">
              <a:solidFill>
                <a:srgbClr val="B03A2E"/>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Fig4_Alpha!$E$5:$E$11</c:f>
              <c:numCache>
                <c:formatCode>0.0%</c:formatCode>
                <c:ptCount val="7"/>
                <c:pt idx="0">
                  <c:v>0.41162119897146199</c:v>
                </c:pt>
                <c:pt idx="1">
                  <c:v>0.38023017219597</c:v>
                </c:pt>
                <c:pt idx="2">
                  <c:v>0.348839145420479</c:v>
                </c:pt>
                <c:pt idx="3">
                  <c:v>0.30175260525724101</c:v>
                </c:pt>
                <c:pt idx="4">
                  <c:v>0.25466606509400402</c:v>
                </c:pt>
                <c:pt idx="5">
                  <c:v>0.20757952493076601</c:v>
                </c:pt>
                <c:pt idx="6">
                  <c:v>0.16049298476752899</c:v>
                </c:pt>
              </c:numCache>
            </c:numRef>
          </c:yVal>
          <c:smooth val="0"/>
          <c:extLst>
            <c:ext xmlns:c16="http://schemas.microsoft.com/office/drawing/2014/chart" uri="{C3380CC4-5D6E-409C-BE32-E72D297353CC}">
              <c16:uniqueId val="{00000001-44CE-3D44-A4D8-D56110996B42}"/>
            </c:ext>
          </c:extLst>
        </c:ser>
        <c:ser>
          <c:idx val="2"/>
          <c:order val="2"/>
          <c:tx>
            <c:v>10% hurdle</c:v>
          </c:tx>
          <c:spPr>
            <a:ln w="11880">
              <a:solidFill>
                <a:srgbClr val="1A5C3A"/>
              </a:solidFill>
              <a:prstDash val="sysDot"/>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Fig4_Alpha!$H$5:$H$11</c:f>
              <c:numCache>
                <c:formatCode>0%</c:formatCode>
                <c:ptCount val="7"/>
                <c:pt idx="0">
                  <c:v>0.1</c:v>
                </c:pt>
                <c:pt idx="1">
                  <c:v>0.1</c:v>
                </c:pt>
                <c:pt idx="2">
                  <c:v>0.1</c:v>
                </c:pt>
                <c:pt idx="3">
                  <c:v>0.1</c:v>
                </c:pt>
                <c:pt idx="4">
                  <c:v>0.1</c:v>
                </c:pt>
                <c:pt idx="5">
                  <c:v>0.1</c:v>
                </c:pt>
                <c:pt idx="6">
                  <c:v>0.1</c:v>
                </c:pt>
              </c:numCache>
            </c:numRef>
          </c:yVal>
          <c:smooth val="0"/>
          <c:extLst>
            <c:ext xmlns:c16="http://schemas.microsoft.com/office/drawing/2014/chart" uri="{C3380CC4-5D6E-409C-BE32-E72D297353CC}">
              <c16:uniqueId val="{00000002-44CE-3D44-A4D8-D56110996B42}"/>
            </c:ext>
          </c:extLst>
        </c:ser>
        <c:ser>
          <c:idx val="3"/>
          <c:order val="3"/>
          <c:tx>
            <c:v>20% min saving</c:v>
          </c:tx>
          <c:spPr>
            <a:ln w="11880">
              <a:solidFill>
                <a:srgbClr val="B03A2E"/>
              </a:solidFill>
              <a:prstDash val="sysDot"/>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Fig4_Alpha!$I$5:$I$11</c:f>
              <c:numCache>
                <c:formatCode>0%</c:formatCode>
                <c:ptCount val="7"/>
                <c:pt idx="0">
                  <c:v>0.2</c:v>
                </c:pt>
                <c:pt idx="1">
                  <c:v>0.2</c:v>
                </c:pt>
                <c:pt idx="2">
                  <c:v>0.2</c:v>
                </c:pt>
                <c:pt idx="3">
                  <c:v>0.2</c:v>
                </c:pt>
                <c:pt idx="4">
                  <c:v>0.2</c:v>
                </c:pt>
                <c:pt idx="5">
                  <c:v>0.2</c:v>
                </c:pt>
                <c:pt idx="6">
                  <c:v>0.2</c:v>
                </c:pt>
              </c:numCache>
            </c:numRef>
          </c:yVal>
          <c:smooth val="0"/>
          <c:extLst>
            <c:ext xmlns:c16="http://schemas.microsoft.com/office/drawing/2014/chart" uri="{C3380CC4-5D6E-409C-BE32-E72D297353CC}">
              <c16:uniqueId val="{00000003-44CE-3D44-A4D8-D56110996B42}"/>
            </c:ext>
          </c:extLst>
        </c:ser>
        <c:dLbls>
          <c:showLegendKey val="0"/>
          <c:showVal val="0"/>
          <c:showCatName val="0"/>
          <c:showSerName val="0"/>
          <c:showPercent val="0"/>
          <c:showBubbleSize val="0"/>
        </c:dLbls>
        <c:axId val="79234319"/>
        <c:axId val="54936904"/>
      </c:scatterChart>
      <c:valAx>
        <c:axId val="79234319"/>
        <c:scaling>
          <c:orientation val="minMax"/>
          <c:max val="0.8"/>
          <c:min val="0"/>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Bargaining share α</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54936904"/>
        <c:crosses val="autoZero"/>
        <c:crossBetween val="midCat"/>
      </c:valAx>
      <c:valAx>
        <c:axId val="54936904"/>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Percent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79234319"/>
        <c:crosses val="autoZero"/>
        <c:crossBetween val="midCat"/>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000" b="1" strike="noStrike" spc="-1">
                <a:solidFill>
                  <a:srgbClr val="000000"/>
                </a:solidFill>
                <a:latin typeface="Calibri"/>
              </a:defRPr>
            </a:pPr>
            <a:r>
              <a:rPr sz="1000" b="1" strike="noStrike" spc="-1">
                <a:solidFill>
                  <a:srgbClr val="000000"/>
                </a:solidFill>
                <a:latin typeface="Calibri"/>
              </a:rPr>
              <a:t>Geothermal+BESS</a:t>
            </a:r>
          </a:p>
        </c:rich>
      </c:tx>
      <c:overlay val="0"/>
      <c:spPr>
        <a:noFill/>
        <a:ln w="0">
          <a:noFill/>
        </a:ln>
      </c:spPr>
    </c:title>
    <c:autoTitleDeleted val="0"/>
    <c:plotArea>
      <c:layout/>
      <c:scatterChart>
        <c:scatterStyle val="lineMarker"/>
        <c:varyColors val="0"/>
        <c:ser>
          <c:idx val="0"/>
          <c:order val="0"/>
          <c:tx>
            <c:v>Developer levered IRR</c:v>
          </c:tx>
          <c:spPr>
            <a:ln w="21960">
              <a:solidFill>
                <a:srgbClr val="1A5C3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Fig4_Alpha!$F$5:$F$11</c:f>
              <c:numCache>
                <c:formatCode>0.0%</c:formatCode>
                <c:ptCount val="7"/>
                <c:pt idx="0">
                  <c:v>0.17731193531363099</c:v>
                </c:pt>
                <c:pt idx="1">
                  <c:v>0.20215961403395999</c:v>
                </c:pt>
                <c:pt idx="2">
                  <c:v>0.23069493470491401</c:v>
                </c:pt>
                <c:pt idx="3">
                  <c:v>0.27903097203368998</c:v>
                </c:pt>
                <c:pt idx="4">
                  <c:v>0.330819685549955</c:v>
                </c:pt>
                <c:pt idx="5">
                  <c:v>0.38276249282485503</c:v>
                </c:pt>
                <c:pt idx="6">
                  <c:v>0.432930661480252</c:v>
                </c:pt>
              </c:numCache>
            </c:numRef>
          </c:yVal>
          <c:smooth val="0"/>
          <c:extLst>
            <c:ext xmlns:c16="http://schemas.microsoft.com/office/drawing/2014/chart" uri="{C3380CC4-5D6E-409C-BE32-E72D297353CC}">
              <c16:uniqueId val="{00000000-9DB0-1D4A-A286-85D571032ECF}"/>
            </c:ext>
          </c:extLst>
        </c:ser>
        <c:ser>
          <c:idx val="1"/>
          <c:order val="1"/>
          <c:tx>
            <c:v>DC saving vs grid</c:v>
          </c:tx>
          <c:spPr>
            <a:ln w="21960">
              <a:solidFill>
                <a:srgbClr val="B03A2E"/>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Fig4_Alpha!$G$5:$G$11</c:f>
              <c:numCache>
                <c:formatCode>0.0%</c:formatCode>
                <c:ptCount val="7"/>
                <c:pt idx="0">
                  <c:v>0.59871351950059504</c:v>
                </c:pt>
                <c:pt idx="1">
                  <c:v>0.53473208943540895</c:v>
                </c:pt>
                <c:pt idx="2">
                  <c:v>0.47075065937022298</c:v>
                </c:pt>
                <c:pt idx="3">
                  <c:v>0.37477851427244502</c:v>
                </c:pt>
                <c:pt idx="4">
                  <c:v>0.278806369174667</c:v>
                </c:pt>
                <c:pt idx="5">
                  <c:v>0.18283422407688801</c:v>
                </c:pt>
                <c:pt idx="6">
                  <c:v>8.6862078979110094E-2</c:v>
                </c:pt>
              </c:numCache>
            </c:numRef>
          </c:yVal>
          <c:smooth val="0"/>
          <c:extLst>
            <c:ext xmlns:c16="http://schemas.microsoft.com/office/drawing/2014/chart" uri="{C3380CC4-5D6E-409C-BE32-E72D297353CC}">
              <c16:uniqueId val="{00000001-9DB0-1D4A-A286-85D571032ECF}"/>
            </c:ext>
          </c:extLst>
        </c:ser>
        <c:ser>
          <c:idx val="2"/>
          <c:order val="2"/>
          <c:tx>
            <c:v>10% hurdle</c:v>
          </c:tx>
          <c:spPr>
            <a:ln w="11880">
              <a:solidFill>
                <a:srgbClr val="1A5C3A"/>
              </a:solidFill>
              <a:prstDash val="sysDot"/>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Fig4_Alpha!$H$5:$H$11</c:f>
              <c:numCache>
                <c:formatCode>0%</c:formatCode>
                <c:ptCount val="7"/>
                <c:pt idx="0">
                  <c:v>0.1</c:v>
                </c:pt>
                <c:pt idx="1">
                  <c:v>0.1</c:v>
                </c:pt>
                <c:pt idx="2">
                  <c:v>0.1</c:v>
                </c:pt>
                <c:pt idx="3">
                  <c:v>0.1</c:v>
                </c:pt>
                <c:pt idx="4">
                  <c:v>0.1</c:v>
                </c:pt>
                <c:pt idx="5">
                  <c:v>0.1</c:v>
                </c:pt>
                <c:pt idx="6">
                  <c:v>0.1</c:v>
                </c:pt>
              </c:numCache>
            </c:numRef>
          </c:yVal>
          <c:smooth val="0"/>
          <c:extLst>
            <c:ext xmlns:c16="http://schemas.microsoft.com/office/drawing/2014/chart" uri="{C3380CC4-5D6E-409C-BE32-E72D297353CC}">
              <c16:uniqueId val="{00000002-9DB0-1D4A-A286-85D571032ECF}"/>
            </c:ext>
          </c:extLst>
        </c:ser>
        <c:ser>
          <c:idx val="3"/>
          <c:order val="3"/>
          <c:tx>
            <c:v>20% min saving</c:v>
          </c:tx>
          <c:spPr>
            <a:ln w="11880">
              <a:solidFill>
                <a:srgbClr val="B03A2E"/>
              </a:solidFill>
              <a:prstDash val="sysDot"/>
              <a:round/>
            </a:ln>
          </c:spPr>
          <c:marker>
            <c:symbol val="none"/>
          </c:marker>
          <c:dLbls>
            <c:spPr>
              <a:noFill/>
              <a:ln>
                <a:noFill/>
              </a:ln>
              <a:effectLst/>
            </c:spPr>
            <c:txPr>
              <a:bodyPr wrap="square"/>
              <a:lstStyle/>
              <a:p>
                <a:pPr>
                  <a:defRPr sz="1000" b="0" strike="noStrike" spc="-1">
                    <a:solidFill>
                      <a:srgbClr val="000000"/>
                    </a:solidFill>
                    <a:latin typeface="Arial"/>
                  </a:defRPr>
                </a:pPr>
                <a:endParaRPr lang="zh-CN"/>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Fig4_Alpha!$A$5:$A$11</c:f>
              <c:numCache>
                <c:formatCode>0.00</c:formatCode>
                <c:ptCount val="7"/>
                <c:pt idx="0">
                  <c:v>0</c:v>
                </c:pt>
                <c:pt idx="1">
                  <c:v>0.1</c:v>
                </c:pt>
                <c:pt idx="2">
                  <c:v>0.2</c:v>
                </c:pt>
                <c:pt idx="3">
                  <c:v>0.35</c:v>
                </c:pt>
                <c:pt idx="4">
                  <c:v>0.5</c:v>
                </c:pt>
                <c:pt idx="5">
                  <c:v>0.65</c:v>
                </c:pt>
                <c:pt idx="6">
                  <c:v>0.8</c:v>
                </c:pt>
              </c:numCache>
            </c:numRef>
          </c:xVal>
          <c:yVal>
            <c:numRef>
              <c:f>Fig4_Alpha!$I$5:$I$11</c:f>
              <c:numCache>
                <c:formatCode>0%</c:formatCode>
                <c:ptCount val="7"/>
                <c:pt idx="0">
                  <c:v>0.2</c:v>
                </c:pt>
                <c:pt idx="1">
                  <c:v>0.2</c:v>
                </c:pt>
                <c:pt idx="2">
                  <c:v>0.2</c:v>
                </c:pt>
                <c:pt idx="3">
                  <c:v>0.2</c:v>
                </c:pt>
                <c:pt idx="4">
                  <c:v>0.2</c:v>
                </c:pt>
                <c:pt idx="5">
                  <c:v>0.2</c:v>
                </c:pt>
                <c:pt idx="6">
                  <c:v>0.2</c:v>
                </c:pt>
              </c:numCache>
            </c:numRef>
          </c:yVal>
          <c:smooth val="0"/>
          <c:extLst>
            <c:ext xmlns:c16="http://schemas.microsoft.com/office/drawing/2014/chart" uri="{C3380CC4-5D6E-409C-BE32-E72D297353CC}">
              <c16:uniqueId val="{00000003-9DB0-1D4A-A286-85D571032ECF}"/>
            </c:ext>
          </c:extLst>
        </c:ser>
        <c:dLbls>
          <c:showLegendKey val="0"/>
          <c:showVal val="0"/>
          <c:showCatName val="0"/>
          <c:showSerName val="0"/>
          <c:showPercent val="0"/>
          <c:showBubbleSize val="0"/>
        </c:dLbls>
        <c:axId val="69105230"/>
        <c:axId val="45236031"/>
      </c:scatterChart>
      <c:valAx>
        <c:axId val="69105230"/>
        <c:scaling>
          <c:orientation val="minMax"/>
          <c:max val="0.8"/>
          <c:min val="0"/>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Bargaining share α</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45236031"/>
        <c:crosses val="autoZero"/>
        <c:crossBetween val="midCat"/>
      </c:valAx>
      <c:valAx>
        <c:axId val="45236031"/>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Percent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zh-CN"/>
          </a:p>
        </c:txPr>
        <c:crossAx val="69105230"/>
        <c:crosses val="autoZero"/>
        <c:crossBetween val="midCat"/>
      </c:valAx>
      <c:spPr>
        <a:noFill/>
        <a:ln w="0">
          <a:noFill/>
        </a:ln>
      </c:spPr>
    </c:plotArea>
    <c:legend>
      <c:legendPos val="b"/>
      <c:overlay val="0"/>
      <c:spPr>
        <a:noFill/>
        <a:ln w="0">
          <a:noFill/>
        </a:ln>
      </c:spPr>
      <c:txPr>
        <a:bodyPr/>
        <a:lstStyle/>
        <a:p>
          <a:pPr>
            <a:defRPr sz="750" b="0" strike="noStrike" spc="-1">
              <a:solidFill>
                <a:srgbClr val="000000"/>
              </a:solidFill>
              <a:latin typeface="Calibri"/>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38</xdr:row>
      <xdr:rowOff>0</xdr:rowOff>
    </xdr:from>
    <xdr:to>
      <xdr:col>6</xdr:col>
      <xdr:colOff>268920</xdr:colOff>
      <xdr:row>54</xdr:row>
      <xdr:rowOff>10080</xdr:rowOff>
    </xdr:to>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38</xdr:row>
      <xdr:rowOff>0</xdr:rowOff>
    </xdr:from>
    <xdr:to>
      <xdr:col>13</xdr:col>
      <xdr:colOff>501480</xdr:colOff>
      <xdr:row>54</xdr:row>
      <xdr:rowOff>10080</xdr:rowOff>
    </xdr:to>
    <xdr:graphicFrame macro="">
      <xdr:nvGraphicFramePr>
        <xdr:cNvPr id="3" name="Chart 2">
          <a:extLst>
            <a:ext uri="{FF2B5EF4-FFF2-40B4-BE49-F238E27FC236}">
              <a16:creationId xmlns:a16="http://schemas.microsoft.com/office/drawing/2014/main" id="{00000000-0008-0000-1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0</xdr:colOff>
      <xdr:row>38</xdr:row>
      <xdr:rowOff>0</xdr:rowOff>
    </xdr:from>
    <xdr:to>
      <xdr:col>21</xdr:col>
      <xdr:colOff>217800</xdr:colOff>
      <xdr:row>54</xdr:row>
      <xdr:rowOff>10080</xdr:rowOff>
    </xdr:to>
    <xdr:graphicFrame macro="">
      <xdr:nvGraphicFramePr>
        <xdr:cNvPr id="4" name="Chart 3">
          <a:extLst>
            <a:ext uri="{FF2B5EF4-FFF2-40B4-BE49-F238E27FC236}">
              <a16:creationId xmlns:a16="http://schemas.microsoft.com/office/drawing/2014/main" id="{00000000-0008-0000-1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57</xdr:row>
      <xdr:rowOff>0</xdr:rowOff>
    </xdr:from>
    <xdr:to>
      <xdr:col>6</xdr:col>
      <xdr:colOff>268920</xdr:colOff>
      <xdr:row>73</xdr:row>
      <xdr:rowOff>10080</xdr:rowOff>
    </xdr:to>
    <xdr:graphicFrame macro="">
      <xdr:nvGraphicFramePr>
        <xdr:cNvPr id="5" name="Chart 4">
          <a:extLst>
            <a:ext uri="{FF2B5EF4-FFF2-40B4-BE49-F238E27FC236}">
              <a16:creationId xmlns:a16="http://schemas.microsoft.com/office/drawing/2014/main" id="{00000000-0008-0000-1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57</xdr:row>
      <xdr:rowOff>0</xdr:rowOff>
    </xdr:from>
    <xdr:to>
      <xdr:col>13</xdr:col>
      <xdr:colOff>501480</xdr:colOff>
      <xdr:row>73</xdr:row>
      <xdr:rowOff>10080</xdr:rowOff>
    </xdr:to>
    <xdr:graphicFrame macro="">
      <xdr:nvGraphicFramePr>
        <xdr:cNvPr id="6" name="Chart 5">
          <a:extLst>
            <a:ext uri="{FF2B5EF4-FFF2-40B4-BE49-F238E27FC236}">
              <a16:creationId xmlns:a16="http://schemas.microsoft.com/office/drawing/2014/main" id="{00000000-0008-0000-1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0</xdr:colOff>
      <xdr:row>57</xdr:row>
      <xdr:rowOff>0</xdr:rowOff>
    </xdr:from>
    <xdr:to>
      <xdr:col>21</xdr:col>
      <xdr:colOff>217800</xdr:colOff>
      <xdr:row>73</xdr:row>
      <xdr:rowOff>10080</xdr:rowOff>
    </xdr:to>
    <xdr:graphicFrame macro="">
      <xdr:nvGraphicFramePr>
        <xdr:cNvPr id="7" name="Chart 6">
          <a:extLst>
            <a:ext uri="{FF2B5EF4-FFF2-40B4-BE49-F238E27FC236}">
              <a16:creationId xmlns:a16="http://schemas.microsoft.com/office/drawing/2014/main" id="{00000000-0008-0000-1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6</xdr:col>
      <xdr:colOff>290520</xdr:colOff>
      <xdr:row>24</xdr:row>
      <xdr:rowOff>20880</xdr:rowOff>
    </xdr:to>
    <xdr:graphicFrame macro="">
      <xdr:nvGraphicFramePr>
        <xdr:cNvPr id="6" name="Chart 1">
          <a:extLst>
            <a:ext uri="{FF2B5EF4-FFF2-40B4-BE49-F238E27FC236}">
              <a16:creationId xmlns:a16="http://schemas.microsoft.com/office/drawing/2014/main" id="{00000000-0008-0000-1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5</xdr:col>
      <xdr:colOff>762840</xdr:colOff>
      <xdr:row>29</xdr:row>
      <xdr:rowOff>10800</xdr:rowOff>
    </xdr:to>
    <xdr:graphicFrame macro="">
      <xdr:nvGraphicFramePr>
        <xdr:cNvPr id="7" name="Chart 1">
          <a:extLst>
            <a:ext uri="{FF2B5EF4-FFF2-40B4-BE49-F238E27FC236}">
              <a16:creationId xmlns:a16="http://schemas.microsoft.com/office/drawing/2014/main" id="{00000000-0008-0000-1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13</xdr:row>
      <xdr:rowOff>0</xdr:rowOff>
    </xdr:from>
    <xdr:to>
      <xdr:col>14</xdr:col>
      <xdr:colOff>31320</xdr:colOff>
      <xdr:row>29</xdr:row>
      <xdr:rowOff>10800</xdr:rowOff>
    </xdr:to>
    <xdr:graphicFrame macro="">
      <xdr:nvGraphicFramePr>
        <xdr:cNvPr id="8" name="Chart 2">
          <a:extLst>
            <a:ext uri="{FF2B5EF4-FFF2-40B4-BE49-F238E27FC236}">
              <a16:creationId xmlns:a16="http://schemas.microsoft.com/office/drawing/2014/main" id="{00000000-0008-0000-1A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0</xdr:colOff>
      <xdr:row>13</xdr:row>
      <xdr:rowOff>0</xdr:rowOff>
    </xdr:from>
    <xdr:to>
      <xdr:col>21</xdr:col>
      <xdr:colOff>217800</xdr:colOff>
      <xdr:row>29</xdr:row>
      <xdr:rowOff>10800</xdr:rowOff>
    </xdr:to>
    <xdr:graphicFrame macro="">
      <xdr:nvGraphicFramePr>
        <xdr:cNvPr id="9" name="Chart 3">
          <a:extLst>
            <a:ext uri="{FF2B5EF4-FFF2-40B4-BE49-F238E27FC236}">
              <a16:creationId xmlns:a16="http://schemas.microsoft.com/office/drawing/2014/main" id="{00000000-0008-0000-1A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zoomScaleNormal="100" workbookViewId="0">
      <selection activeCell="B5" sqref="B5"/>
    </sheetView>
  </sheetViews>
  <sheetFormatPr baseColWidth="10" defaultColWidth="8.6640625" defaultRowHeight="15" x14ac:dyDescent="0.2"/>
  <cols>
    <col min="1" max="1" width="22" customWidth="1"/>
    <col min="2" max="2" width="72" customWidth="1"/>
  </cols>
  <sheetData>
    <row r="1" spans="1:2" ht="17.25" customHeight="1" x14ac:dyDescent="0.2">
      <c r="A1" s="3" t="s">
        <v>0</v>
      </c>
    </row>
    <row r="3" spans="1:2" ht="15" customHeight="1" x14ac:dyDescent="0.2">
      <c r="A3" s="4" t="s">
        <v>1</v>
      </c>
    </row>
    <row r="4" spans="1:2" ht="15" customHeight="1" x14ac:dyDescent="0.2">
      <c r="A4" s="5" t="s">
        <v>2</v>
      </c>
      <c r="B4" s="6" t="s">
        <v>3</v>
      </c>
    </row>
    <row r="5" spans="1:2" ht="15" customHeight="1" x14ac:dyDescent="0.2">
      <c r="A5" s="5" t="s">
        <v>4</v>
      </c>
      <c r="B5" s="6" t="s">
        <v>5</v>
      </c>
    </row>
    <row r="6" spans="1:2" ht="15" customHeight="1" x14ac:dyDescent="0.2">
      <c r="A6" s="5" t="s">
        <v>6</v>
      </c>
      <c r="B6" s="6" t="s">
        <v>7</v>
      </c>
    </row>
    <row r="7" spans="1:2" ht="15" customHeight="1" x14ac:dyDescent="0.2">
      <c r="A7" s="5" t="s">
        <v>8</v>
      </c>
      <c r="B7" s="6" t="s">
        <v>9</v>
      </c>
    </row>
    <row r="8" spans="1:2" ht="15" customHeight="1" x14ac:dyDescent="0.2">
      <c r="A8" s="5" t="s">
        <v>10</v>
      </c>
      <c r="B8" s="6" t="s">
        <v>11</v>
      </c>
    </row>
    <row r="9" spans="1:2" ht="15" customHeight="1" x14ac:dyDescent="0.2">
      <c r="A9" s="5" t="s">
        <v>12</v>
      </c>
      <c r="B9" s="6" t="s">
        <v>13</v>
      </c>
    </row>
    <row r="10" spans="1:2" ht="15" customHeight="1" x14ac:dyDescent="0.2">
      <c r="A10" s="5" t="s">
        <v>14</v>
      </c>
      <c r="B10" s="6" t="s">
        <v>15</v>
      </c>
    </row>
    <row r="11" spans="1:2" ht="15" customHeight="1" x14ac:dyDescent="0.2">
      <c r="A11" s="5" t="s">
        <v>16</v>
      </c>
      <c r="B11" s="6" t="s">
        <v>17</v>
      </c>
    </row>
    <row r="12" spans="1:2" ht="15" customHeight="1" x14ac:dyDescent="0.2">
      <c r="A12" s="5" t="s">
        <v>18</v>
      </c>
      <c r="B12" s="6" t="s">
        <v>19</v>
      </c>
    </row>
    <row r="13" spans="1:2" ht="15" customHeight="1" x14ac:dyDescent="0.2">
      <c r="A13" s="5" t="s">
        <v>20</v>
      </c>
      <c r="B13" s="6" t="s">
        <v>21</v>
      </c>
    </row>
    <row r="15" spans="1:2" ht="15" customHeight="1" x14ac:dyDescent="0.2">
      <c r="A15" s="4" t="s">
        <v>22</v>
      </c>
    </row>
    <row r="16" spans="1:2" ht="15" customHeight="1" x14ac:dyDescent="0.2">
      <c r="A16" s="5" t="s">
        <v>23</v>
      </c>
      <c r="B16" s="6" t="s">
        <v>24</v>
      </c>
    </row>
    <row r="17" spans="1:2" ht="15" customHeight="1" x14ac:dyDescent="0.2">
      <c r="A17" s="5" t="s">
        <v>25</v>
      </c>
      <c r="B17" s="6" t="s">
        <v>26</v>
      </c>
    </row>
    <row r="18" spans="1:2" ht="15" customHeight="1" x14ac:dyDescent="0.2">
      <c r="A18" s="5" t="s">
        <v>27</v>
      </c>
      <c r="B18" s="6" t="s">
        <v>28</v>
      </c>
    </row>
    <row r="19" spans="1:2" ht="15" customHeight="1" x14ac:dyDescent="0.2">
      <c r="A19" s="5" t="s">
        <v>29</v>
      </c>
      <c r="B19" s="6" t="s">
        <v>30</v>
      </c>
    </row>
    <row r="20" spans="1:2" ht="15" customHeight="1" x14ac:dyDescent="0.2">
      <c r="A20" s="5" t="s">
        <v>31</v>
      </c>
      <c r="B20" s="6" t="s">
        <v>32</v>
      </c>
    </row>
    <row r="22" spans="1:2" ht="15" customHeight="1" x14ac:dyDescent="0.2">
      <c r="A22" s="4" t="s">
        <v>33</v>
      </c>
    </row>
    <row r="23" spans="1:2" ht="15" customHeight="1" x14ac:dyDescent="0.2">
      <c r="A23" s="5" t="s">
        <v>34</v>
      </c>
      <c r="B23" s="6" t="s">
        <v>35</v>
      </c>
    </row>
    <row r="24" spans="1:2" ht="15" customHeight="1" x14ac:dyDescent="0.2">
      <c r="A24" s="5" t="s">
        <v>36</v>
      </c>
      <c r="B24" s="6" t="s">
        <v>37</v>
      </c>
    </row>
    <row r="25" spans="1:2" ht="15" customHeight="1" x14ac:dyDescent="0.2">
      <c r="A25" s="5" t="s">
        <v>38</v>
      </c>
      <c r="B25" s="6" t="s">
        <v>39</v>
      </c>
    </row>
    <row r="26" spans="1:2" ht="15" customHeight="1" x14ac:dyDescent="0.2">
      <c r="A26" s="5" t="s">
        <v>40</v>
      </c>
      <c r="B26" s="6" t="s">
        <v>41</v>
      </c>
    </row>
    <row r="28" spans="1:2" ht="15" customHeight="1" x14ac:dyDescent="0.2">
      <c r="A28" s="4" t="s">
        <v>42</v>
      </c>
    </row>
    <row r="29" spans="1:2" ht="15" customHeight="1" x14ac:dyDescent="0.2">
      <c r="A29" s="5" t="s">
        <v>43</v>
      </c>
      <c r="B29" s="6" t="s">
        <v>44</v>
      </c>
    </row>
    <row r="30" spans="1:2" ht="15" customHeight="1" x14ac:dyDescent="0.2">
      <c r="A30" s="5" t="s">
        <v>45</v>
      </c>
      <c r="B30" s="6" t="s">
        <v>46</v>
      </c>
    </row>
    <row r="31" spans="1:2" ht="15" customHeight="1" x14ac:dyDescent="0.2">
      <c r="A31" s="5" t="s">
        <v>47</v>
      </c>
      <c r="B31" s="6" t="s">
        <v>48</v>
      </c>
    </row>
    <row r="32" spans="1:2" ht="15" customHeight="1" x14ac:dyDescent="0.2">
      <c r="A32" s="5" t="s">
        <v>49</v>
      </c>
      <c r="B32" s="6" t="s">
        <v>50</v>
      </c>
    </row>
    <row r="34" spans="1:2" ht="15" customHeight="1" x14ac:dyDescent="0.2">
      <c r="A34" s="4" t="s">
        <v>51</v>
      </c>
    </row>
    <row r="35" spans="1:2" ht="15" customHeight="1" x14ac:dyDescent="0.2">
      <c r="A35" s="5" t="s">
        <v>52</v>
      </c>
      <c r="B35" s="6" t="s">
        <v>53</v>
      </c>
    </row>
    <row r="36" spans="1:2" ht="15" customHeight="1" x14ac:dyDescent="0.2">
      <c r="A36" s="5" t="s">
        <v>54</v>
      </c>
      <c r="B36" s="6" t="s">
        <v>55</v>
      </c>
    </row>
    <row r="37" spans="1:2" ht="15" customHeight="1" x14ac:dyDescent="0.2">
      <c r="A37" s="5" t="s">
        <v>56</v>
      </c>
      <c r="B37" s="6" t="s">
        <v>57</v>
      </c>
    </row>
  </sheetData>
  <phoneticPr fontId="22"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8"/>
  <sheetViews>
    <sheetView topLeftCell="A10" zoomScaleNormal="100" workbookViewId="0">
      <selection activeCell="C7" sqref="C7"/>
    </sheetView>
  </sheetViews>
  <sheetFormatPr baseColWidth="10" defaultColWidth="8.6640625" defaultRowHeight="15" x14ac:dyDescent="0.2"/>
  <cols>
    <col min="1" max="1" width="46" customWidth="1"/>
    <col min="2" max="2" width="14" customWidth="1"/>
    <col min="3" max="3" width="13" customWidth="1"/>
    <col min="4" max="4" width="10" customWidth="1"/>
    <col min="5" max="5" width="110" customWidth="1"/>
  </cols>
  <sheetData>
    <row r="1" spans="1:5" ht="15.75" customHeight="1" x14ac:dyDescent="0.2">
      <c r="A1" s="7" t="s">
        <v>58</v>
      </c>
      <c r="E1" s="8"/>
    </row>
    <row r="2" spans="1:5" ht="15" customHeight="1" x14ac:dyDescent="0.2">
      <c r="A2" s="9" t="s">
        <v>59</v>
      </c>
      <c r="E2" s="8"/>
    </row>
    <row r="3" spans="1:5" ht="15" customHeight="1" x14ac:dyDescent="0.2">
      <c r="E3" s="8"/>
    </row>
    <row r="4" spans="1:5" ht="15" customHeight="1" x14ac:dyDescent="0.2">
      <c r="A4" s="10" t="s">
        <v>60</v>
      </c>
      <c r="E4" s="8"/>
    </row>
    <row r="5" spans="1:5" ht="15" customHeight="1" x14ac:dyDescent="0.2">
      <c r="A5" s="11" t="s">
        <v>61</v>
      </c>
      <c r="B5" s="11" t="s">
        <v>62</v>
      </c>
      <c r="C5" s="11" t="s">
        <v>63</v>
      </c>
      <c r="D5" s="11" t="s">
        <v>64</v>
      </c>
      <c r="E5" s="12" t="s">
        <v>65</v>
      </c>
    </row>
    <row r="6" spans="1:5" ht="21.75" customHeight="1" x14ac:dyDescent="0.2">
      <c r="A6" s="13" t="s">
        <v>66</v>
      </c>
      <c r="B6" s="14">
        <v>41</v>
      </c>
      <c r="C6" s="13" t="s">
        <v>67</v>
      </c>
      <c r="D6" s="13" t="s">
        <v>68</v>
      </c>
      <c r="E6" s="15" t="s">
        <v>69</v>
      </c>
    </row>
    <row r="7" spans="1:5" ht="15" customHeight="1" x14ac:dyDescent="0.2">
      <c r="A7" s="13" t="s">
        <v>70</v>
      </c>
      <c r="B7" s="14">
        <v>41.1</v>
      </c>
      <c r="C7" s="13" t="s">
        <v>67</v>
      </c>
      <c r="D7" s="13" t="s">
        <v>68</v>
      </c>
      <c r="E7" s="15" t="s">
        <v>71</v>
      </c>
    </row>
    <row r="8" spans="1:5" ht="21.75" customHeight="1" x14ac:dyDescent="0.2">
      <c r="A8" s="13" t="s">
        <v>66</v>
      </c>
      <c r="B8" s="14">
        <v>39</v>
      </c>
      <c r="C8" s="13" t="s">
        <v>67</v>
      </c>
      <c r="D8" s="13" t="s">
        <v>72</v>
      </c>
      <c r="E8" s="15" t="s">
        <v>73</v>
      </c>
    </row>
    <row r="9" spans="1:5" ht="15" customHeight="1" x14ac:dyDescent="0.2">
      <c r="A9" s="13" t="s">
        <v>70</v>
      </c>
      <c r="B9" s="14">
        <v>38.32</v>
      </c>
      <c r="C9" s="13" t="s">
        <v>67</v>
      </c>
      <c r="D9" s="13" t="s">
        <v>72</v>
      </c>
      <c r="E9" s="15" t="s">
        <v>74</v>
      </c>
    </row>
    <row r="10" spans="1:5" ht="21.75" customHeight="1" x14ac:dyDescent="0.2">
      <c r="A10" s="13" t="s">
        <v>75</v>
      </c>
      <c r="B10" s="14">
        <v>42</v>
      </c>
      <c r="C10" s="13" t="s">
        <v>67</v>
      </c>
      <c r="D10" s="13" t="s">
        <v>72</v>
      </c>
      <c r="E10" s="15" t="s">
        <v>76</v>
      </c>
    </row>
    <row r="11" spans="1:5" ht="15" customHeight="1" x14ac:dyDescent="0.2">
      <c r="A11" s="13" t="s">
        <v>77</v>
      </c>
      <c r="B11" s="16">
        <f>B7/(1-0.36)</f>
        <v>64.21875</v>
      </c>
      <c r="C11" s="13" t="s">
        <v>67</v>
      </c>
      <c r="D11" s="13" t="s">
        <v>78</v>
      </c>
      <c r="E11" s="15" t="s">
        <v>79</v>
      </c>
    </row>
    <row r="12" spans="1:5" ht="15" customHeight="1" x14ac:dyDescent="0.2">
      <c r="E12" s="8"/>
    </row>
    <row r="13" spans="1:5" ht="15" customHeight="1" x14ac:dyDescent="0.2">
      <c r="A13" s="10" t="s">
        <v>80</v>
      </c>
      <c r="E13" s="8"/>
    </row>
    <row r="14" spans="1:5" ht="15" customHeight="1" x14ac:dyDescent="0.2">
      <c r="A14" s="11" t="s">
        <v>61</v>
      </c>
      <c r="B14" s="11" t="s">
        <v>62</v>
      </c>
      <c r="C14" s="11" t="s">
        <v>63</v>
      </c>
      <c r="D14" s="11" t="s">
        <v>64</v>
      </c>
      <c r="E14" s="12" t="s">
        <v>65</v>
      </c>
    </row>
    <row r="15" spans="1:5" ht="21.75" customHeight="1" x14ac:dyDescent="0.2">
      <c r="A15" s="13" t="s">
        <v>81</v>
      </c>
      <c r="B15" s="14">
        <v>43</v>
      </c>
      <c r="C15" s="13" t="s">
        <v>67</v>
      </c>
      <c r="D15" s="13" t="s">
        <v>82</v>
      </c>
      <c r="E15" s="15" t="s">
        <v>83</v>
      </c>
    </row>
    <row r="16" spans="1:5" ht="32.25" customHeight="1" x14ac:dyDescent="0.2">
      <c r="A16" s="13" t="s">
        <v>84</v>
      </c>
      <c r="B16" s="14">
        <v>19</v>
      </c>
      <c r="C16" s="13" t="s">
        <v>67</v>
      </c>
      <c r="D16" s="13" t="s">
        <v>85</v>
      </c>
      <c r="E16" s="15" t="s">
        <v>86</v>
      </c>
    </row>
    <row r="17" spans="1:5" ht="21.75" customHeight="1" x14ac:dyDescent="0.2">
      <c r="A17" s="13" t="s">
        <v>87</v>
      </c>
      <c r="B17" s="14">
        <v>48</v>
      </c>
      <c r="C17" s="13" t="s">
        <v>67</v>
      </c>
      <c r="D17" s="13" t="s">
        <v>88</v>
      </c>
      <c r="E17" s="15" t="s">
        <v>89</v>
      </c>
    </row>
    <row r="18" spans="1:5" ht="15" customHeight="1" x14ac:dyDescent="0.2">
      <c r="A18" s="13" t="s">
        <v>90</v>
      </c>
      <c r="B18" s="14">
        <v>47.5</v>
      </c>
      <c r="C18" s="13" t="s">
        <v>67</v>
      </c>
      <c r="D18" s="13" t="s">
        <v>88</v>
      </c>
      <c r="E18" s="15" t="s">
        <v>91</v>
      </c>
    </row>
    <row r="19" spans="1:5" ht="15" customHeight="1" x14ac:dyDescent="0.2">
      <c r="A19" s="13" t="s">
        <v>92</v>
      </c>
      <c r="B19" s="14">
        <v>58</v>
      </c>
      <c r="C19" s="13" t="s">
        <v>67</v>
      </c>
      <c r="D19" s="13" t="s">
        <v>93</v>
      </c>
      <c r="E19" s="15" t="s">
        <v>94</v>
      </c>
    </row>
    <row r="20" spans="1:5" ht="21.75" customHeight="1" x14ac:dyDescent="0.2">
      <c r="A20" s="13" t="s">
        <v>95</v>
      </c>
      <c r="B20" s="14">
        <v>36</v>
      </c>
      <c r="C20" s="13" t="s">
        <v>67</v>
      </c>
      <c r="D20" s="13" t="s">
        <v>96</v>
      </c>
      <c r="E20" s="15" t="s">
        <v>97</v>
      </c>
    </row>
    <row r="21" spans="1:5" ht="15" customHeight="1" x14ac:dyDescent="0.2">
      <c r="E21" s="8"/>
    </row>
    <row r="22" spans="1:5" ht="15" customHeight="1" x14ac:dyDescent="0.2">
      <c r="A22" s="10" t="s">
        <v>98</v>
      </c>
      <c r="E22" s="8"/>
    </row>
    <row r="23" spans="1:5" ht="15" customHeight="1" x14ac:dyDescent="0.2">
      <c r="A23" s="9" t="s">
        <v>99</v>
      </c>
      <c r="E23" s="8"/>
    </row>
    <row r="24" spans="1:5" ht="15" customHeight="1" x14ac:dyDescent="0.2">
      <c r="A24" s="11" t="s">
        <v>100</v>
      </c>
      <c r="B24" s="11" t="s">
        <v>101</v>
      </c>
      <c r="C24" s="11" t="s">
        <v>102</v>
      </c>
      <c r="D24" s="11" t="s">
        <v>103</v>
      </c>
      <c r="E24" s="12" t="s">
        <v>104</v>
      </c>
    </row>
    <row r="25" spans="1:5" ht="15" customHeight="1" x14ac:dyDescent="0.2">
      <c r="A25" s="13">
        <v>1</v>
      </c>
      <c r="B25" s="17">
        <v>40</v>
      </c>
      <c r="C25" s="17">
        <v>40</v>
      </c>
      <c r="D25" s="18">
        <f t="shared" ref="D25:D48" si="0">AVERAGE(B25,C25)</f>
        <v>40</v>
      </c>
      <c r="E25" s="19" t="s">
        <v>105</v>
      </c>
    </row>
    <row r="26" spans="1:5" ht="15" customHeight="1" x14ac:dyDescent="0.2">
      <c r="A26" s="13">
        <v>2</v>
      </c>
      <c r="B26" s="17">
        <v>38</v>
      </c>
      <c r="C26" s="17">
        <v>38</v>
      </c>
      <c r="D26" s="18">
        <f t="shared" si="0"/>
        <v>38</v>
      </c>
      <c r="E26" s="19" t="s">
        <v>105</v>
      </c>
    </row>
    <row r="27" spans="1:5" ht="15" customHeight="1" x14ac:dyDescent="0.2">
      <c r="A27" s="13">
        <v>3</v>
      </c>
      <c r="B27" s="17">
        <v>36</v>
      </c>
      <c r="C27" s="17">
        <v>36</v>
      </c>
      <c r="D27" s="18">
        <f t="shared" si="0"/>
        <v>36</v>
      </c>
      <c r="E27" s="19" t="s">
        <v>105</v>
      </c>
    </row>
    <row r="28" spans="1:5" ht="15" customHeight="1" x14ac:dyDescent="0.2">
      <c r="A28" s="13">
        <v>4</v>
      </c>
      <c r="B28" s="17">
        <v>35</v>
      </c>
      <c r="C28" s="17">
        <v>35</v>
      </c>
      <c r="D28" s="18">
        <f t="shared" si="0"/>
        <v>35</v>
      </c>
      <c r="E28" s="19" t="s">
        <v>105</v>
      </c>
    </row>
    <row r="29" spans="1:5" ht="15" customHeight="1" x14ac:dyDescent="0.2">
      <c r="A29" s="13">
        <v>5</v>
      </c>
      <c r="B29" s="17">
        <v>35</v>
      </c>
      <c r="C29" s="17">
        <v>35</v>
      </c>
      <c r="D29" s="18">
        <f t="shared" si="0"/>
        <v>35</v>
      </c>
      <c r="E29" s="19" t="s">
        <v>105</v>
      </c>
    </row>
    <row r="30" spans="1:5" ht="15" customHeight="1" x14ac:dyDescent="0.2">
      <c r="A30" s="13">
        <v>6</v>
      </c>
      <c r="B30" s="17">
        <v>39</v>
      </c>
      <c r="C30" s="17">
        <v>38</v>
      </c>
      <c r="D30" s="18">
        <f t="shared" si="0"/>
        <v>38.5</v>
      </c>
      <c r="E30" s="19" t="s">
        <v>105</v>
      </c>
    </row>
    <row r="31" spans="1:5" ht="15" customHeight="1" x14ac:dyDescent="0.2">
      <c r="A31" s="13">
        <v>7</v>
      </c>
      <c r="B31" s="17">
        <v>40</v>
      </c>
      <c r="C31" s="17">
        <v>40</v>
      </c>
      <c r="D31" s="18">
        <f t="shared" si="0"/>
        <v>40</v>
      </c>
      <c r="E31" s="19" t="s">
        <v>105</v>
      </c>
    </row>
    <row r="32" spans="1:5" ht="15" customHeight="1" x14ac:dyDescent="0.2">
      <c r="A32" s="13">
        <v>8</v>
      </c>
      <c r="B32" s="17">
        <v>32</v>
      </c>
      <c r="C32" s="17">
        <v>30</v>
      </c>
      <c r="D32" s="18">
        <f t="shared" si="0"/>
        <v>31</v>
      </c>
      <c r="E32" s="19" t="s">
        <v>106</v>
      </c>
    </row>
    <row r="33" spans="1:5" ht="15" customHeight="1" x14ac:dyDescent="0.2">
      <c r="A33" s="13">
        <v>9</v>
      </c>
      <c r="B33" s="17">
        <v>27</v>
      </c>
      <c r="C33" s="17">
        <v>21</v>
      </c>
      <c r="D33" s="18">
        <f t="shared" si="0"/>
        <v>24</v>
      </c>
      <c r="E33" s="19" t="s">
        <v>107</v>
      </c>
    </row>
    <row r="34" spans="1:5" ht="15" customHeight="1" x14ac:dyDescent="0.2">
      <c r="A34" s="13">
        <v>10</v>
      </c>
      <c r="B34" s="17">
        <v>26</v>
      </c>
      <c r="C34" s="17">
        <v>19</v>
      </c>
      <c r="D34" s="18">
        <f t="shared" si="0"/>
        <v>22.5</v>
      </c>
      <c r="E34" s="19" t="s">
        <v>107</v>
      </c>
    </row>
    <row r="35" spans="1:5" ht="15" customHeight="1" x14ac:dyDescent="0.2">
      <c r="A35" s="13">
        <v>11</v>
      </c>
      <c r="B35" s="17">
        <v>25</v>
      </c>
      <c r="C35" s="17">
        <v>20</v>
      </c>
      <c r="D35" s="18">
        <f t="shared" si="0"/>
        <v>22.5</v>
      </c>
      <c r="E35" s="19" t="s">
        <v>107</v>
      </c>
    </row>
    <row r="36" spans="1:5" ht="15" customHeight="1" x14ac:dyDescent="0.2">
      <c r="A36" s="13">
        <v>12</v>
      </c>
      <c r="B36" s="17">
        <v>27</v>
      </c>
      <c r="C36" s="17">
        <v>21</v>
      </c>
      <c r="D36" s="18">
        <f t="shared" si="0"/>
        <v>24</v>
      </c>
      <c r="E36" s="19" t="s">
        <v>107</v>
      </c>
    </row>
    <row r="37" spans="1:5" ht="15" customHeight="1" x14ac:dyDescent="0.2">
      <c r="A37" s="13">
        <v>13</v>
      </c>
      <c r="B37" s="17">
        <v>27</v>
      </c>
      <c r="C37" s="17">
        <v>23</v>
      </c>
      <c r="D37" s="18">
        <f t="shared" si="0"/>
        <v>25</v>
      </c>
      <c r="E37" s="19" t="s">
        <v>107</v>
      </c>
    </row>
    <row r="38" spans="1:5" ht="15" customHeight="1" x14ac:dyDescent="0.2">
      <c r="A38" s="13">
        <v>14</v>
      </c>
      <c r="B38" s="17">
        <v>29</v>
      </c>
      <c r="C38" s="17">
        <v>24</v>
      </c>
      <c r="D38" s="18">
        <f t="shared" si="0"/>
        <v>26.5</v>
      </c>
      <c r="E38" s="19" t="s">
        <v>107</v>
      </c>
    </row>
    <row r="39" spans="1:5" ht="15" customHeight="1" x14ac:dyDescent="0.2">
      <c r="A39" s="13">
        <v>15</v>
      </c>
      <c r="B39" s="17">
        <v>31</v>
      </c>
      <c r="C39" s="17">
        <v>27</v>
      </c>
      <c r="D39" s="18">
        <f t="shared" si="0"/>
        <v>29</v>
      </c>
      <c r="E39" s="19" t="s">
        <v>107</v>
      </c>
    </row>
    <row r="40" spans="1:5" ht="15" customHeight="1" x14ac:dyDescent="0.2">
      <c r="A40" s="13">
        <v>16</v>
      </c>
      <c r="B40" s="17">
        <v>40</v>
      </c>
      <c r="C40" s="17">
        <v>33</v>
      </c>
      <c r="D40" s="18">
        <f t="shared" si="0"/>
        <v>36.5</v>
      </c>
      <c r="E40" s="19" t="s">
        <v>108</v>
      </c>
    </row>
    <row r="41" spans="1:5" ht="15" customHeight="1" x14ac:dyDescent="0.2">
      <c r="A41" s="13">
        <v>17</v>
      </c>
      <c r="B41" s="17">
        <v>45</v>
      </c>
      <c r="C41" s="17">
        <v>36</v>
      </c>
      <c r="D41" s="18">
        <f t="shared" si="0"/>
        <v>40.5</v>
      </c>
      <c r="E41" s="19" t="s">
        <v>108</v>
      </c>
    </row>
    <row r="42" spans="1:5" ht="15" customHeight="1" x14ac:dyDescent="0.2">
      <c r="A42" s="13">
        <v>18</v>
      </c>
      <c r="B42" s="17">
        <v>60</v>
      </c>
      <c r="C42" s="17">
        <v>48</v>
      </c>
      <c r="D42" s="18">
        <f t="shared" si="0"/>
        <v>54</v>
      </c>
      <c r="E42" s="19" t="s">
        <v>108</v>
      </c>
    </row>
    <row r="43" spans="1:5" ht="15" customHeight="1" x14ac:dyDescent="0.2">
      <c r="A43" s="13">
        <v>19</v>
      </c>
      <c r="B43" s="17">
        <v>91</v>
      </c>
      <c r="C43" s="17">
        <v>77</v>
      </c>
      <c r="D43" s="18">
        <f t="shared" si="0"/>
        <v>84</v>
      </c>
      <c r="E43" s="19" t="s">
        <v>109</v>
      </c>
    </row>
    <row r="44" spans="1:5" ht="15" customHeight="1" x14ac:dyDescent="0.2">
      <c r="A44" s="13">
        <v>20</v>
      </c>
      <c r="B44" s="17">
        <v>119</v>
      </c>
      <c r="C44" s="17">
        <v>104</v>
      </c>
      <c r="D44" s="18">
        <f t="shared" si="0"/>
        <v>111.5</v>
      </c>
      <c r="E44" s="19" t="s">
        <v>109</v>
      </c>
    </row>
    <row r="45" spans="1:5" ht="15" customHeight="1" x14ac:dyDescent="0.2">
      <c r="A45" s="13">
        <v>21</v>
      </c>
      <c r="B45" s="17">
        <v>75</v>
      </c>
      <c r="C45" s="17">
        <v>65</v>
      </c>
      <c r="D45" s="18">
        <f t="shared" si="0"/>
        <v>70</v>
      </c>
      <c r="E45" s="19" t="s">
        <v>109</v>
      </c>
    </row>
    <row r="46" spans="1:5" ht="15" customHeight="1" x14ac:dyDescent="0.2">
      <c r="A46" s="13">
        <v>22</v>
      </c>
      <c r="B46" s="17">
        <v>56</v>
      </c>
      <c r="C46" s="17">
        <v>53</v>
      </c>
      <c r="D46" s="18">
        <f t="shared" si="0"/>
        <v>54.5</v>
      </c>
      <c r="E46" s="19" t="s">
        <v>110</v>
      </c>
    </row>
    <row r="47" spans="1:5" ht="15" customHeight="1" x14ac:dyDescent="0.2">
      <c r="A47" s="13">
        <v>23</v>
      </c>
      <c r="B47" s="17">
        <v>46</v>
      </c>
      <c r="C47" s="17">
        <v>45</v>
      </c>
      <c r="D47" s="18">
        <f t="shared" si="0"/>
        <v>45.5</v>
      </c>
      <c r="E47" s="19" t="s">
        <v>110</v>
      </c>
    </row>
    <row r="48" spans="1:5" ht="15" customHeight="1" x14ac:dyDescent="0.2">
      <c r="A48" s="13">
        <v>24</v>
      </c>
      <c r="B48" s="17">
        <v>42</v>
      </c>
      <c r="C48" s="17">
        <v>42</v>
      </c>
      <c r="D48" s="18">
        <f t="shared" si="0"/>
        <v>42</v>
      </c>
      <c r="E48" s="19" t="s">
        <v>110</v>
      </c>
    </row>
    <row r="49" spans="1:5" ht="15" customHeight="1" x14ac:dyDescent="0.2">
      <c r="E49" s="8"/>
    </row>
    <row r="50" spans="1:5" ht="15" customHeight="1" x14ac:dyDescent="0.2">
      <c r="A50" s="10" t="s">
        <v>111</v>
      </c>
      <c r="E50" s="8"/>
    </row>
    <row r="51" spans="1:5" ht="15" customHeight="1" x14ac:dyDescent="0.2">
      <c r="A51" s="11" t="s">
        <v>61</v>
      </c>
      <c r="B51" s="11" t="s">
        <v>62</v>
      </c>
      <c r="C51" s="11" t="s">
        <v>63</v>
      </c>
      <c r="D51" s="11" t="s">
        <v>64</v>
      </c>
      <c r="E51" s="12" t="s">
        <v>65</v>
      </c>
    </row>
    <row r="52" spans="1:5" ht="15" customHeight="1" x14ac:dyDescent="0.2">
      <c r="A52" s="13" t="s">
        <v>112</v>
      </c>
      <c r="B52" s="14">
        <v>38.090000000000003</v>
      </c>
      <c r="C52" s="13" t="s">
        <v>113</v>
      </c>
      <c r="D52" s="13" t="s">
        <v>68</v>
      </c>
      <c r="E52" s="15" t="s">
        <v>114</v>
      </c>
    </row>
    <row r="53" spans="1:5" ht="15" customHeight="1" x14ac:dyDescent="0.2">
      <c r="A53" s="13" t="s">
        <v>115</v>
      </c>
      <c r="B53" s="14">
        <v>16.190000000000001</v>
      </c>
      <c r="C53" s="13" t="s">
        <v>67</v>
      </c>
      <c r="D53" s="13" t="s">
        <v>68</v>
      </c>
      <c r="E53" s="15" t="s">
        <v>116</v>
      </c>
    </row>
    <row r="54" spans="1:5" ht="21.75" customHeight="1" x14ac:dyDescent="0.2">
      <c r="A54" s="13" t="s">
        <v>112</v>
      </c>
      <c r="B54" s="14">
        <v>29.89</v>
      </c>
      <c r="C54" s="13" t="s">
        <v>113</v>
      </c>
      <c r="D54" s="13" t="s">
        <v>72</v>
      </c>
      <c r="E54" s="15" t="s">
        <v>117</v>
      </c>
    </row>
    <row r="55" spans="1:5" ht="15" customHeight="1" x14ac:dyDescent="0.2">
      <c r="A55" s="13" t="s">
        <v>115</v>
      </c>
      <c r="B55" s="14">
        <v>12.7</v>
      </c>
      <c r="C55" s="13" t="s">
        <v>67</v>
      </c>
      <c r="D55" s="13" t="s">
        <v>72</v>
      </c>
      <c r="E55" s="15" t="s">
        <v>118</v>
      </c>
    </row>
    <row r="56" spans="1:5" ht="21.75" customHeight="1" x14ac:dyDescent="0.2">
      <c r="A56" s="13" t="s">
        <v>119</v>
      </c>
      <c r="B56" s="20">
        <f>B53/B52</f>
        <v>0.4250459438172749</v>
      </c>
      <c r="C56" s="13" t="s">
        <v>120</v>
      </c>
      <c r="D56" s="13" t="s">
        <v>68</v>
      </c>
      <c r="E56" s="15" t="s">
        <v>121</v>
      </c>
    </row>
    <row r="57" spans="1:5" ht="15" customHeight="1" x14ac:dyDescent="0.2">
      <c r="A57" s="13" t="s">
        <v>122</v>
      </c>
      <c r="B57" s="20">
        <f>B55/B54</f>
        <v>0.42489126798260285</v>
      </c>
      <c r="C57" s="13" t="s">
        <v>120</v>
      </c>
      <c r="D57" s="13" t="s">
        <v>72</v>
      </c>
      <c r="E57" s="15" t="s">
        <v>123</v>
      </c>
    </row>
    <row r="58" spans="1:5" ht="15" customHeight="1" x14ac:dyDescent="0.2">
      <c r="A58" s="13" t="s">
        <v>124</v>
      </c>
      <c r="B58" s="21">
        <f>AVERAGE(B56,B57)</f>
        <v>0.4249686058999389</v>
      </c>
      <c r="C58" s="13" t="s">
        <v>120</v>
      </c>
      <c r="D58" s="13" t="s">
        <v>125</v>
      </c>
      <c r="E58" s="15" t="s">
        <v>126</v>
      </c>
    </row>
    <row r="59" spans="1:5" ht="15" customHeight="1" x14ac:dyDescent="0.2">
      <c r="E59" s="8"/>
    </row>
    <row r="60" spans="1:5" ht="15" customHeight="1" x14ac:dyDescent="0.2">
      <c r="A60" s="10" t="s">
        <v>127</v>
      </c>
      <c r="E60" s="8"/>
    </row>
    <row r="61" spans="1:5" ht="15" customHeight="1" x14ac:dyDescent="0.2">
      <c r="A61" s="11" t="s">
        <v>61</v>
      </c>
      <c r="B61" s="11" t="s">
        <v>62</v>
      </c>
      <c r="C61" s="11" t="s">
        <v>63</v>
      </c>
      <c r="D61" s="11" t="s">
        <v>64</v>
      </c>
      <c r="E61" s="12" t="s">
        <v>65</v>
      </c>
    </row>
    <row r="62" spans="1:5" ht="21.75" customHeight="1" x14ac:dyDescent="0.2">
      <c r="A62" s="13" t="s">
        <v>128</v>
      </c>
      <c r="B62" s="22">
        <v>1180</v>
      </c>
      <c r="C62" s="13" t="s">
        <v>129</v>
      </c>
      <c r="D62" s="13" t="s">
        <v>68</v>
      </c>
      <c r="E62" s="15" t="s">
        <v>130</v>
      </c>
    </row>
    <row r="63" spans="1:5" ht="15" customHeight="1" x14ac:dyDescent="0.2">
      <c r="A63" s="13" t="s">
        <v>131</v>
      </c>
      <c r="B63" s="23">
        <f>B62/8760</f>
        <v>0.13470319634703196</v>
      </c>
      <c r="C63" s="13" t="s">
        <v>132</v>
      </c>
      <c r="D63" s="13" t="s">
        <v>68</v>
      </c>
      <c r="E63" s="15" t="s">
        <v>133</v>
      </c>
    </row>
    <row r="64" spans="1:5" ht="15" customHeight="1" x14ac:dyDescent="0.2">
      <c r="A64" s="13" t="s">
        <v>134</v>
      </c>
      <c r="B64" s="17">
        <v>-17</v>
      </c>
      <c r="C64" s="13" t="s">
        <v>67</v>
      </c>
      <c r="D64" s="13" t="s">
        <v>68</v>
      </c>
      <c r="E64" s="15" t="s">
        <v>135</v>
      </c>
    </row>
    <row r="65" spans="1:5" ht="21.75" customHeight="1" x14ac:dyDescent="0.2">
      <c r="A65" s="13" t="s">
        <v>136</v>
      </c>
      <c r="B65" s="24">
        <v>0.3</v>
      </c>
      <c r="C65" s="13" t="s">
        <v>137</v>
      </c>
      <c r="D65" s="13" t="s">
        <v>68</v>
      </c>
      <c r="E65" s="15" t="s">
        <v>138</v>
      </c>
    </row>
    <row r="66" spans="1:5" ht="15" customHeight="1" x14ac:dyDescent="0.2">
      <c r="A66" s="13" t="s">
        <v>139</v>
      </c>
      <c r="B66" s="24">
        <v>6.0000000000000001E-3</v>
      </c>
      <c r="C66" s="13" t="s">
        <v>132</v>
      </c>
      <c r="D66" s="13" t="s">
        <v>88</v>
      </c>
      <c r="E66" s="15" t="s">
        <v>140</v>
      </c>
    </row>
    <row r="67" spans="1:5" ht="21.75" customHeight="1" x14ac:dyDescent="0.2">
      <c r="A67" s="13" t="s">
        <v>141</v>
      </c>
      <c r="B67" s="17">
        <v>637</v>
      </c>
      <c r="C67" s="13" t="s">
        <v>67</v>
      </c>
      <c r="D67" s="13" t="s">
        <v>142</v>
      </c>
      <c r="E67" s="15" t="s">
        <v>143</v>
      </c>
    </row>
    <row r="68" spans="1:5" ht="15" customHeight="1" x14ac:dyDescent="0.2">
      <c r="A68" s="13" t="s">
        <v>144</v>
      </c>
      <c r="B68" s="17">
        <v>120</v>
      </c>
      <c r="C68" s="13" t="s">
        <v>67</v>
      </c>
      <c r="D68" s="13" t="s">
        <v>88</v>
      </c>
      <c r="E68" s="15" t="s">
        <v>145</v>
      </c>
    </row>
  </sheetData>
  <phoneticPr fontId="22"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8"/>
  <sheetViews>
    <sheetView topLeftCell="A10" zoomScaleNormal="100" workbookViewId="0"/>
  </sheetViews>
  <sheetFormatPr baseColWidth="10" defaultColWidth="8.6640625" defaultRowHeight="15" x14ac:dyDescent="0.2"/>
  <cols>
    <col min="1" max="1" width="44" customWidth="1"/>
    <col min="2" max="2" width="14" customWidth="1"/>
    <col min="3" max="3" width="12" customWidth="1"/>
    <col min="4" max="4" width="60" customWidth="1"/>
    <col min="5" max="5" width="70" customWidth="1"/>
  </cols>
  <sheetData>
    <row r="1" spans="1:5" ht="15.75" customHeight="1" x14ac:dyDescent="0.2">
      <c r="A1" s="7" t="s">
        <v>146</v>
      </c>
      <c r="D1" s="8"/>
      <c r="E1" s="8"/>
    </row>
    <row r="2" spans="1:5" ht="15" customHeight="1" x14ac:dyDescent="0.2">
      <c r="A2" s="9" t="s">
        <v>147</v>
      </c>
      <c r="D2" s="8"/>
      <c r="E2" s="8"/>
    </row>
    <row r="3" spans="1:5" ht="15" customHeight="1" x14ac:dyDescent="0.2">
      <c r="D3" s="8"/>
      <c r="E3" s="8"/>
    </row>
    <row r="4" spans="1:5" ht="15" customHeight="1" x14ac:dyDescent="0.2">
      <c r="A4" s="10" t="s">
        <v>148</v>
      </c>
      <c r="D4" s="8"/>
      <c r="E4" s="8"/>
    </row>
    <row r="5" spans="1:5" ht="15" customHeight="1" x14ac:dyDescent="0.2">
      <c r="A5" s="11" t="s">
        <v>149</v>
      </c>
      <c r="B5" s="11" t="s">
        <v>150</v>
      </c>
      <c r="C5" s="11" t="s">
        <v>151</v>
      </c>
      <c r="D5" s="12" t="s">
        <v>152</v>
      </c>
      <c r="E5" s="12" t="s">
        <v>153</v>
      </c>
    </row>
    <row r="6" spans="1:5" ht="68.25" customHeight="1" x14ac:dyDescent="0.2">
      <c r="A6" s="25" t="s">
        <v>154</v>
      </c>
      <c r="B6" s="19" t="s">
        <v>155</v>
      </c>
      <c r="C6" s="19" t="s">
        <v>156</v>
      </c>
      <c r="D6" s="19" t="s">
        <v>157</v>
      </c>
      <c r="E6" s="19" t="s">
        <v>158</v>
      </c>
    </row>
    <row r="7" spans="1:5" ht="57" customHeight="1" x14ac:dyDescent="0.2">
      <c r="A7" s="25" t="s">
        <v>159</v>
      </c>
      <c r="B7" s="19" t="s">
        <v>160</v>
      </c>
      <c r="C7" s="19" t="s">
        <v>161</v>
      </c>
      <c r="D7" s="19" t="s">
        <v>162</v>
      </c>
      <c r="E7" s="19" t="s">
        <v>163</v>
      </c>
    </row>
    <row r="8" spans="1:5" ht="57" customHeight="1" x14ac:dyDescent="0.2">
      <c r="A8" s="25" t="s">
        <v>164</v>
      </c>
      <c r="B8" s="19" t="s">
        <v>165</v>
      </c>
      <c r="C8" s="19" t="s">
        <v>166</v>
      </c>
      <c r="D8" s="19" t="s">
        <v>167</v>
      </c>
      <c r="E8" s="19" t="s">
        <v>168</v>
      </c>
    </row>
    <row r="9" spans="1:5" ht="15" customHeight="1" x14ac:dyDescent="0.2">
      <c r="D9" s="8"/>
      <c r="E9" s="8"/>
    </row>
    <row r="10" spans="1:5" ht="15" customHeight="1" x14ac:dyDescent="0.2">
      <c r="A10" s="10" t="s">
        <v>169</v>
      </c>
      <c r="D10" s="8"/>
      <c r="E10" s="8"/>
    </row>
    <row r="11" spans="1:5" ht="15" customHeight="1" x14ac:dyDescent="0.2">
      <c r="A11" t="s">
        <v>170</v>
      </c>
      <c r="B11" s="26">
        <f>AVERAGE(M1_Inputs!B34:B37)</f>
        <v>26.25</v>
      </c>
      <c r="C11" t="s">
        <v>67</v>
      </c>
      <c r="D11" s="8"/>
      <c r="E11" s="8"/>
    </row>
    <row r="12" spans="1:5" ht="15" customHeight="1" x14ac:dyDescent="0.2">
      <c r="A12" t="s">
        <v>171</v>
      </c>
      <c r="B12" s="26">
        <f>AVERAGE(M1_Inputs!C34:C37)</f>
        <v>20.75</v>
      </c>
      <c r="C12" t="s">
        <v>67</v>
      </c>
      <c r="D12" s="8"/>
      <c r="E12" s="8"/>
    </row>
    <row r="13" spans="1:5" ht="15" customHeight="1" x14ac:dyDescent="0.2">
      <c r="A13" t="s">
        <v>172</v>
      </c>
      <c r="B13" s="16">
        <f>AVERAGE(B11,B12)</f>
        <v>23.5</v>
      </c>
      <c r="C13" t="s">
        <v>67</v>
      </c>
      <c r="D13" s="8"/>
      <c r="E13" s="8"/>
    </row>
    <row r="14" spans="1:5" ht="21.75" customHeight="1" x14ac:dyDescent="0.2">
      <c r="A14" t="s">
        <v>173</v>
      </c>
      <c r="B14" s="26">
        <f>M1_Inputs!B15</f>
        <v>43</v>
      </c>
      <c r="C14" t="s">
        <v>67</v>
      </c>
      <c r="D14" s="15" t="s">
        <v>174</v>
      </c>
      <c r="E14" s="8"/>
    </row>
    <row r="15" spans="1:5" ht="15" customHeight="1" x14ac:dyDescent="0.2">
      <c r="A15" t="s">
        <v>175</v>
      </c>
      <c r="B15" s="13" t="s">
        <v>176</v>
      </c>
      <c r="C15" t="s">
        <v>67</v>
      </c>
      <c r="D15" s="15" t="s">
        <v>177</v>
      </c>
      <c r="E15" s="8"/>
    </row>
    <row r="16" spans="1:5" ht="32.25" customHeight="1" x14ac:dyDescent="0.2">
      <c r="A16" s="27" t="s">
        <v>178</v>
      </c>
      <c r="B16" s="28">
        <f>ROUND(B13,0)</f>
        <v>24</v>
      </c>
      <c r="C16" t="s">
        <v>67</v>
      </c>
      <c r="D16" s="15" t="s">
        <v>179</v>
      </c>
      <c r="E16" s="8"/>
    </row>
    <row r="17" spans="1:5" ht="15" customHeight="1" x14ac:dyDescent="0.2">
      <c r="D17" s="8"/>
      <c r="E17" s="8"/>
    </row>
    <row r="18" spans="1:5" ht="15" customHeight="1" x14ac:dyDescent="0.2">
      <c r="A18" s="10" t="s">
        <v>180</v>
      </c>
      <c r="D18" s="8"/>
      <c r="E18" s="8"/>
    </row>
    <row r="19" spans="1:5" ht="15" customHeight="1" x14ac:dyDescent="0.2">
      <c r="A19" t="s">
        <v>181</v>
      </c>
      <c r="B19" s="26">
        <f>M1_Inputs!$B$6</f>
        <v>41</v>
      </c>
      <c r="C19" t="s">
        <v>67</v>
      </c>
      <c r="D19" s="8"/>
      <c r="E19" s="8"/>
    </row>
    <row r="20" spans="1:5" ht="15" customHeight="1" x14ac:dyDescent="0.2">
      <c r="A20" t="s">
        <v>182</v>
      </c>
      <c r="B20" s="26">
        <f>M1_Inputs!$B$8</f>
        <v>39</v>
      </c>
      <c r="C20" t="s">
        <v>67</v>
      </c>
      <c r="D20" s="8"/>
      <c r="E20" s="8"/>
    </row>
    <row r="21" spans="1:5" ht="15" customHeight="1" x14ac:dyDescent="0.2">
      <c r="A21" t="s">
        <v>183</v>
      </c>
      <c r="B21" s="16">
        <f>AVERAGE(B19,B20)</f>
        <v>40</v>
      </c>
      <c r="C21" t="s">
        <v>67</v>
      </c>
      <c r="D21" s="8"/>
      <c r="E21" s="8"/>
    </row>
    <row r="22" spans="1:5" ht="21.75" customHeight="1" x14ac:dyDescent="0.2">
      <c r="A22" t="s">
        <v>184</v>
      </c>
      <c r="B22" s="26">
        <f>M1_Inputs!$B$11</f>
        <v>64.21875</v>
      </c>
      <c r="C22" t="s">
        <v>67</v>
      </c>
      <c r="D22" s="15" t="s">
        <v>185</v>
      </c>
      <c r="E22" s="8"/>
    </row>
    <row r="23" spans="1:5" ht="15" customHeight="1" x14ac:dyDescent="0.2">
      <c r="A23" t="s">
        <v>175</v>
      </c>
      <c r="B23" t="s">
        <v>186</v>
      </c>
      <c r="C23" t="s">
        <v>67</v>
      </c>
      <c r="D23" s="15" t="s">
        <v>187</v>
      </c>
      <c r="E23" s="8"/>
    </row>
    <row r="24" spans="1:5" ht="15" customHeight="1" x14ac:dyDescent="0.2">
      <c r="A24" s="27" t="s">
        <v>188</v>
      </c>
      <c r="B24" s="28">
        <f>ROUND(B21,0)</f>
        <v>40</v>
      </c>
      <c r="C24" t="s">
        <v>67</v>
      </c>
      <c r="D24" s="15" t="s">
        <v>189</v>
      </c>
      <c r="E24" s="8"/>
    </row>
    <row r="25" spans="1:5" ht="15" customHeight="1" x14ac:dyDescent="0.2">
      <c r="D25" s="8"/>
      <c r="E25" s="8"/>
    </row>
    <row r="26" spans="1:5" ht="15" customHeight="1" x14ac:dyDescent="0.2">
      <c r="A26" s="10" t="s">
        <v>190</v>
      </c>
      <c r="D26" s="8"/>
      <c r="E26" s="8"/>
    </row>
    <row r="27" spans="1:5" ht="15" customHeight="1" x14ac:dyDescent="0.2">
      <c r="A27" t="s">
        <v>191</v>
      </c>
      <c r="B27" s="26">
        <f>AVERAGE(M1_Inputs!B43:B45)</f>
        <v>95</v>
      </c>
      <c r="C27" t="s">
        <v>67</v>
      </c>
      <c r="D27" s="8"/>
      <c r="E27" s="8"/>
    </row>
    <row r="28" spans="1:5" ht="15" customHeight="1" x14ac:dyDescent="0.2">
      <c r="A28" t="s">
        <v>192</v>
      </c>
      <c r="B28" s="26">
        <f>AVERAGE(M1_Inputs!C43:C45)</f>
        <v>82</v>
      </c>
      <c r="C28" t="s">
        <v>67</v>
      </c>
      <c r="D28" s="8"/>
      <c r="E28" s="8"/>
    </row>
    <row r="29" spans="1:5" ht="15" customHeight="1" x14ac:dyDescent="0.2">
      <c r="A29" t="s">
        <v>172</v>
      </c>
      <c r="B29" s="16">
        <f>AVERAGE(B27,B28)</f>
        <v>88.5</v>
      </c>
      <c r="C29" t="s">
        <v>67</v>
      </c>
      <c r="D29" s="8"/>
      <c r="E29" s="8"/>
    </row>
    <row r="30" spans="1:5" ht="21.75" customHeight="1" x14ac:dyDescent="0.2">
      <c r="A30" t="s">
        <v>193</v>
      </c>
      <c r="B30" s="26">
        <f>M1_Inputs!$B$68</f>
        <v>120</v>
      </c>
      <c r="C30" t="s">
        <v>67</v>
      </c>
      <c r="D30" s="15" t="s">
        <v>194</v>
      </c>
      <c r="E30" s="8"/>
    </row>
    <row r="31" spans="1:5" ht="15" customHeight="1" x14ac:dyDescent="0.2">
      <c r="A31" t="s">
        <v>175</v>
      </c>
      <c r="B31" t="s">
        <v>195</v>
      </c>
      <c r="C31" t="s">
        <v>67</v>
      </c>
      <c r="D31" s="15" t="s">
        <v>196</v>
      </c>
      <c r="E31" s="8"/>
    </row>
    <row r="32" spans="1:5" ht="21.75" customHeight="1" x14ac:dyDescent="0.2">
      <c r="A32" s="27" t="s">
        <v>197</v>
      </c>
      <c r="B32" s="28">
        <f>ROUND(B29,0)</f>
        <v>89</v>
      </c>
      <c r="C32" t="s">
        <v>67</v>
      </c>
      <c r="D32" s="15" t="s">
        <v>198</v>
      </c>
      <c r="E32" s="8"/>
    </row>
    <row r="33" spans="1:5" ht="15" customHeight="1" x14ac:dyDescent="0.2">
      <c r="D33" s="8"/>
      <c r="E33" s="8"/>
    </row>
    <row r="34" spans="1:5" ht="15" customHeight="1" x14ac:dyDescent="0.2">
      <c r="A34" s="10" t="s">
        <v>199</v>
      </c>
      <c r="D34" s="8"/>
      <c r="E34" s="8"/>
    </row>
    <row r="35" spans="1:5" ht="15" customHeight="1" x14ac:dyDescent="0.2">
      <c r="A35" s="11" t="s">
        <v>149</v>
      </c>
      <c r="B35" s="11" t="s">
        <v>67</v>
      </c>
      <c r="C35" s="11" t="s">
        <v>200</v>
      </c>
      <c r="D35" s="12" t="s">
        <v>201</v>
      </c>
      <c r="E35" s="12" t="s">
        <v>202</v>
      </c>
    </row>
    <row r="36" spans="1:5" ht="15" customHeight="1" x14ac:dyDescent="0.2">
      <c r="A36" s="27" t="s">
        <v>203</v>
      </c>
      <c r="B36" s="29">
        <f>B16</f>
        <v>24</v>
      </c>
      <c r="C36" s="30">
        <f>B36/$B$24-1</f>
        <v>-0.4</v>
      </c>
      <c r="D36" s="19" t="s">
        <v>204</v>
      </c>
      <c r="E36" s="19" t="str">
        <f>IF(AND(B36&gt;=15,B36&lt;=30),"YES","NO")</f>
        <v>YES</v>
      </c>
    </row>
    <row r="37" spans="1:5" ht="15" customHeight="1" x14ac:dyDescent="0.2">
      <c r="A37" s="27" t="s">
        <v>205</v>
      </c>
      <c r="B37" s="29">
        <f>B24</f>
        <v>40</v>
      </c>
      <c r="C37" s="30">
        <f>B37/$B$24-1</f>
        <v>0</v>
      </c>
      <c r="D37" s="19" t="s">
        <v>206</v>
      </c>
      <c r="E37" s="19" t="str">
        <f>IF(AND(B37&gt;=35,B37&lt;=55),"YES","NO")</f>
        <v>YES</v>
      </c>
    </row>
    <row r="38" spans="1:5" ht="15" customHeight="1" x14ac:dyDescent="0.2">
      <c r="A38" s="27" t="s">
        <v>207</v>
      </c>
      <c r="B38" s="29">
        <f>B32</f>
        <v>89</v>
      </c>
      <c r="C38" s="30">
        <f>B38/$B$24-1</f>
        <v>1.2250000000000001</v>
      </c>
      <c r="D38" s="19" t="s">
        <v>208</v>
      </c>
      <c r="E38" s="19" t="str">
        <f>IF(AND(B38&gt;=60,B38&lt;=120),"YES","NO")</f>
        <v>YES</v>
      </c>
    </row>
  </sheetData>
  <phoneticPr fontId="22"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5"/>
  <sheetViews>
    <sheetView zoomScaleNormal="100" workbookViewId="0">
      <selection activeCell="B32" sqref="B32"/>
    </sheetView>
  </sheetViews>
  <sheetFormatPr baseColWidth="10" defaultColWidth="8.6640625" defaultRowHeight="15" x14ac:dyDescent="0.2"/>
  <cols>
    <col min="1" max="1" width="46" customWidth="1"/>
    <col min="2" max="3" width="18" customWidth="1"/>
    <col min="4" max="4" width="90" customWidth="1"/>
  </cols>
  <sheetData>
    <row r="1" spans="1:4" ht="15.75" customHeight="1" x14ac:dyDescent="0.2">
      <c r="A1" s="7" t="s">
        <v>209</v>
      </c>
      <c r="D1" s="8"/>
    </row>
    <row r="2" spans="1:4" ht="15" customHeight="1" x14ac:dyDescent="0.2">
      <c r="A2" s="9" t="s">
        <v>210</v>
      </c>
      <c r="D2" s="8"/>
    </row>
    <row r="3" spans="1:4" ht="15" customHeight="1" x14ac:dyDescent="0.2">
      <c r="D3" s="8"/>
    </row>
    <row r="4" spans="1:4" ht="15" customHeight="1" x14ac:dyDescent="0.2">
      <c r="A4" s="10" t="s">
        <v>211</v>
      </c>
      <c r="D4" s="8"/>
    </row>
    <row r="5" spans="1:4" ht="15" customHeight="1" x14ac:dyDescent="0.2">
      <c r="A5" t="s">
        <v>212</v>
      </c>
      <c r="B5" s="31">
        <f>M1_Inputs!$B$58</f>
        <v>0.4249686058999389</v>
      </c>
      <c r="C5" t="s">
        <v>120</v>
      </c>
      <c r="D5" s="15" t="s">
        <v>213</v>
      </c>
    </row>
    <row r="6" spans="1:4" ht="15" customHeight="1" x14ac:dyDescent="0.2">
      <c r="A6" t="s">
        <v>214</v>
      </c>
      <c r="B6" s="26">
        <f>M1_Inputs!$B$54</f>
        <v>29.89</v>
      </c>
      <c r="C6" t="s">
        <v>215</v>
      </c>
      <c r="D6" s="15" t="s">
        <v>216</v>
      </c>
    </row>
    <row r="7" spans="1:4" ht="15" customHeight="1" x14ac:dyDescent="0.2">
      <c r="D7" s="8"/>
    </row>
    <row r="8" spans="1:4" ht="15" customHeight="1" x14ac:dyDescent="0.2">
      <c r="A8" s="11" t="s">
        <v>217</v>
      </c>
      <c r="B8" s="11" t="s">
        <v>218</v>
      </c>
      <c r="C8" s="11" t="s">
        <v>219</v>
      </c>
      <c r="D8" s="12" t="s">
        <v>220</v>
      </c>
    </row>
    <row r="9" spans="1:4" ht="15" customHeight="1" x14ac:dyDescent="0.2">
      <c r="A9" s="13" t="s">
        <v>221</v>
      </c>
      <c r="B9" s="17">
        <v>0</v>
      </c>
      <c r="C9" s="16">
        <f>B9*$B$5</f>
        <v>0</v>
      </c>
      <c r="D9" s="15" t="s">
        <v>222</v>
      </c>
    </row>
    <row r="10" spans="1:4" ht="15" customHeight="1" x14ac:dyDescent="0.2">
      <c r="A10" s="13" t="s">
        <v>223</v>
      </c>
      <c r="B10" s="17">
        <v>30</v>
      </c>
      <c r="C10" s="16">
        <f>B10*$B$5</f>
        <v>12.749058176998167</v>
      </c>
      <c r="D10" s="15" t="s">
        <v>224</v>
      </c>
    </row>
    <row r="11" spans="1:4" ht="15" customHeight="1" x14ac:dyDescent="0.2">
      <c r="A11" s="13" t="s">
        <v>225</v>
      </c>
      <c r="B11" s="17">
        <v>60</v>
      </c>
      <c r="C11" s="16">
        <f>B11*$B$5</f>
        <v>25.498116353996334</v>
      </c>
      <c r="D11" s="15" t="s">
        <v>226</v>
      </c>
    </row>
    <row r="12" spans="1:4" ht="15" customHeight="1" x14ac:dyDescent="0.2">
      <c r="D12" s="8"/>
    </row>
    <row r="13" spans="1:4" ht="15" customHeight="1" x14ac:dyDescent="0.2">
      <c r="A13" s="10" t="s">
        <v>227</v>
      </c>
      <c r="D13" s="8"/>
    </row>
    <row r="14" spans="1:4" ht="15" customHeight="1" x14ac:dyDescent="0.2">
      <c r="A14" s="32" t="s">
        <v>228</v>
      </c>
      <c r="B14" s="33" t="s">
        <v>221</v>
      </c>
      <c r="C14" s="33" t="s">
        <v>223</v>
      </c>
      <c r="D14" s="34" t="s">
        <v>225</v>
      </c>
    </row>
    <row r="15" spans="1:4" ht="15" customHeight="1" x14ac:dyDescent="0.2">
      <c r="A15" s="35" t="s">
        <v>229</v>
      </c>
      <c r="B15" s="36">
        <f>M1_Benchmarks!$B$16+$C$9</f>
        <v>24</v>
      </c>
      <c r="C15" s="36">
        <f>M1_Benchmarks!$B$16+$C$10</f>
        <v>36.749058176998169</v>
      </c>
      <c r="D15" s="37">
        <f>M1_Benchmarks!$B$16+$C$11</f>
        <v>49.498116353996338</v>
      </c>
    </row>
    <row r="16" spans="1:4" ht="15" customHeight="1" x14ac:dyDescent="0.2">
      <c r="A16" s="35" t="s">
        <v>230</v>
      </c>
      <c r="B16" s="36">
        <f>M1_Benchmarks!$B$24+$C$9</f>
        <v>40</v>
      </c>
      <c r="C16" s="36">
        <f>M1_Benchmarks!$B$24+$C$10</f>
        <v>52.749058176998169</v>
      </c>
      <c r="D16" s="37">
        <f>M1_Benchmarks!$B$24+$C$11</f>
        <v>65.498116353996338</v>
      </c>
    </row>
    <row r="17" spans="1:4" ht="15" customHeight="1" x14ac:dyDescent="0.2">
      <c r="A17" s="35" t="s">
        <v>231</v>
      </c>
      <c r="B17" s="36">
        <f>M1_Benchmarks!$B$32+$C$9</f>
        <v>89</v>
      </c>
      <c r="C17" s="36">
        <f>M1_Benchmarks!$B$32+$C$10</f>
        <v>101.74905817699816</v>
      </c>
      <c r="D17" s="37">
        <f>M1_Benchmarks!$B$32+$C$11</f>
        <v>114.49811635399634</v>
      </c>
    </row>
    <row r="18" spans="1:4" ht="15" customHeight="1" x14ac:dyDescent="0.2">
      <c r="D18" s="8"/>
    </row>
    <row r="19" spans="1:4" ht="15" customHeight="1" x14ac:dyDescent="0.2">
      <c r="A19" s="9" t="s">
        <v>232</v>
      </c>
      <c r="D19" s="8"/>
    </row>
    <row r="20" spans="1:4" ht="15" customHeight="1" x14ac:dyDescent="0.2">
      <c r="D20" s="8"/>
    </row>
    <row r="21" spans="1:4" ht="15" customHeight="1" x14ac:dyDescent="0.2">
      <c r="A21" s="10" t="s">
        <v>233</v>
      </c>
      <c r="D21" s="8"/>
    </row>
    <row r="22" spans="1:4" ht="42" customHeight="1" x14ac:dyDescent="0.2">
      <c r="A22" s="38" t="s">
        <v>234</v>
      </c>
      <c r="D22" s="8"/>
    </row>
    <row r="23" spans="1:4" ht="21.75" customHeight="1" x14ac:dyDescent="0.2">
      <c r="A23" t="s">
        <v>235</v>
      </c>
      <c r="B23" s="26">
        <f>Inputs!B18</f>
        <v>72</v>
      </c>
      <c r="C23" t="s">
        <v>67</v>
      </c>
      <c r="D23" s="15" t="s">
        <v>236</v>
      </c>
    </row>
    <row r="24" spans="1:4" ht="15" customHeight="1" x14ac:dyDescent="0.2">
      <c r="A24" t="s">
        <v>237</v>
      </c>
      <c r="B24" s="26">
        <f>M1_Benchmarks!$B$24</f>
        <v>40</v>
      </c>
      <c r="C24" t="s">
        <v>67</v>
      </c>
      <c r="D24" s="8"/>
    </row>
    <row r="25" spans="1:4" ht="15" customHeight="1" x14ac:dyDescent="0.2">
      <c r="A25" t="s">
        <v>238</v>
      </c>
      <c r="B25" s="16">
        <f>B23-B24</f>
        <v>32</v>
      </c>
      <c r="C25" t="s">
        <v>67</v>
      </c>
      <c r="D25" s="8"/>
    </row>
    <row r="26" spans="1:4" ht="21.75" customHeight="1" x14ac:dyDescent="0.2">
      <c r="A26" t="s">
        <v>239</v>
      </c>
      <c r="B26" s="39">
        <f>B23/B24-1</f>
        <v>0.8</v>
      </c>
      <c r="C26" t="s">
        <v>132</v>
      </c>
      <c r="D26" s="15" t="s">
        <v>240</v>
      </c>
    </row>
    <row r="27" spans="1:4" ht="15" customHeight="1" x14ac:dyDescent="0.2">
      <c r="D27" s="8"/>
    </row>
    <row r="28" spans="1:4" ht="15" customHeight="1" x14ac:dyDescent="0.2">
      <c r="A28" s="27" t="s">
        <v>241</v>
      </c>
      <c r="D28" s="8"/>
    </row>
    <row r="29" spans="1:4" ht="21.75" customHeight="1" x14ac:dyDescent="0.2">
      <c r="A29" t="s">
        <v>242</v>
      </c>
      <c r="B29" s="40">
        <f>B23</f>
        <v>72</v>
      </c>
      <c r="C29" t="s">
        <v>67</v>
      </c>
      <c r="D29" s="15" t="s">
        <v>243</v>
      </c>
    </row>
    <row r="30" spans="1:4" ht="21.75" customHeight="1" x14ac:dyDescent="0.2">
      <c r="A30" t="s">
        <v>244</v>
      </c>
      <c r="B30" s="40">
        <f>M1_Benchmarks!$B$24</f>
        <v>40</v>
      </c>
      <c r="C30" t="s">
        <v>67</v>
      </c>
      <c r="D30" s="15" t="s">
        <v>245</v>
      </c>
    </row>
    <row r="31" spans="1:4" ht="21.75" customHeight="1" x14ac:dyDescent="0.2">
      <c r="A31" t="s">
        <v>246</v>
      </c>
      <c r="B31" s="40">
        <f>M1_Benchmarks!$B$32</f>
        <v>89</v>
      </c>
      <c r="C31" t="s">
        <v>67</v>
      </c>
      <c r="D31" s="15" t="s">
        <v>247</v>
      </c>
    </row>
    <row r="32" spans="1:4" ht="15" customHeight="1" x14ac:dyDescent="0.2">
      <c r="D32" s="8"/>
    </row>
    <row r="33" spans="1:4" ht="15" customHeight="1" x14ac:dyDescent="0.2">
      <c r="A33" s="10" t="s">
        <v>248</v>
      </c>
      <c r="D33" s="8"/>
    </row>
    <row r="34" spans="1:4" ht="15" customHeight="1" x14ac:dyDescent="0.2">
      <c r="A34" t="s">
        <v>249</v>
      </c>
      <c r="B34" s="41">
        <f>M1_Inputs!B65</f>
        <v>0.3</v>
      </c>
      <c r="C34" t="s">
        <v>137</v>
      </c>
      <c r="D34" s="8"/>
    </row>
    <row r="35" spans="1:4" ht="42" customHeight="1" x14ac:dyDescent="0.2">
      <c r="A35" t="s">
        <v>250</v>
      </c>
      <c r="B35" s="16">
        <f>M1_Benchmarks!$B$24*B34</f>
        <v>12</v>
      </c>
      <c r="C35" t="s">
        <v>67</v>
      </c>
      <c r="D35" s="15" t="s">
        <v>251</v>
      </c>
    </row>
  </sheetData>
  <phoneticPr fontId="22"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2"/>
  <sheetViews>
    <sheetView zoomScaleNormal="100" workbookViewId="0"/>
  </sheetViews>
  <sheetFormatPr baseColWidth="10" defaultColWidth="8.6640625" defaultRowHeight="15" x14ac:dyDescent="0.2"/>
  <cols>
    <col min="1" max="1" width="140" customWidth="1"/>
  </cols>
  <sheetData>
    <row r="1" spans="1:1" ht="15.75" customHeight="1" x14ac:dyDescent="0.2">
      <c r="A1" s="7" t="s">
        <v>252</v>
      </c>
    </row>
    <row r="3" spans="1:1" ht="15" customHeight="1" x14ac:dyDescent="0.2">
      <c r="A3" s="10" t="s">
        <v>253</v>
      </c>
    </row>
    <row r="4" spans="1:1" ht="45" customHeight="1" x14ac:dyDescent="0.2">
      <c r="A4" s="19" t="s">
        <v>254</v>
      </c>
    </row>
    <row r="6" spans="1:1" ht="15" customHeight="1" x14ac:dyDescent="0.2">
      <c r="A6" s="10" t="s">
        <v>255</v>
      </c>
    </row>
    <row r="7" spans="1:1" ht="90" customHeight="1" x14ac:dyDescent="0.2">
      <c r="A7" s="19" t="s">
        <v>256</v>
      </c>
    </row>
    <row r="9" spans="1:1" ht="15" customHeight="1" x14ac:dyDescent="0.2">
      <c r="A9" s="10" t="s">
        <v>257</v>
      </c>
    </row>
    <row r="10" spans="1:1" ht="90" customHeight="1" x14ac:dyDescent="0.2">
      <c r="A10" s="19" t="s">
        <v>258</v>
      </c>
    </row>
    <row r="12" spans="1:1" ht="15" customHeight="1" x14ac:dyDescent="0.2">
      <c r="A12" s="10" t="s">
        <v>259</v>
      </c>
    </row>
    <row r="13" spans="1:1" ht="105" customHeight="1" x14ac:dyDescent="0.2">
      <c r="A13" s="19" t="s">
        <v>260</v>
      </c>
    </row>
    <row r="15" spans="1:1" ht="15" customHeight="1" x14ac:dyDescent="0.2">
      <c r="A15" s="10" t="s">
        <v>261</v>
      </c>
    </row>
    <row r="16" spans="1:1" ht="75" customHeight="1" x14ac:dyDescent="0.2">
      <c r="A16" s="19" t="s">
        <v>262</v>
      </c>
    </row>
    <row r="18" spans="1:1" ht="15" customHeight="1" x14ac:dyDescent="0.2">
      <c r="A18" s="10" t="s">
        <v>263</v>
      </c>
    </row>
    <row r="19" spans="1:1" ht="60" customHeight="1" x14ac:dyDescent="0.2">
      <c r="A19" s="19" t="s">
        <v>264</v>
      </c>
    </row>
    <row r="21" spans="1:1" ht="15" customHeight="1" x14ac:dyDescent="0.2">
      <c r="A21" s="10" t="s">
        <v>265</v>
      </c>
    </row>
    <row r="22" spans="1:1" ht="75" customHeight="1" x14ac:dyDescent="0.2">
      <c r="A22" s="19" t="s">
        <v>266</v>
      </c>
    </row>
  </sheetData>
  <phoneticPr fontId="22"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7"/>
  <sheetViews>
    <sheetView zoomScaleNormal="100" workbookViewId="0">
      <selection activeCell="B20" sqref="B20"/>
    </sheetView>
  </sheetViews>
  <sheetFormatPr baseColWidth="10" defaultColWidth="8.6640625" defaultRowHeight="15" x14ac:dyDescent="0.2"/>
  <cols>
    <col min="1" max="1" width="48" customWidth="1"/>
    <col min="2" max="2" width="13" customWidth="1"/>
    <col min="3" max="3" width="95" customWidth="1"/>
  </cols>
  <sheetData>
    <row r="1" spans="1:3" ht="15.75" customHeight="1" x14ac:dyDescent="0.2">
      <c r="A1" s="7" t="s">
        <v>267</v>
      </c>
    </row>
    <row r="2" spans="1:3" ht="15" customHeight="1" x14ac:dyDescent="0.2">
      <c r="A2" s="42" t="s">
        <v>268</v>
      </c>
    </row>
    <row r="4" spans="1:3" ht="15" customHeight="1" x14ac:dyDescent="0.2">
      <c r="A4" s="43" t="s">
        <v>269</v>
      </c>
    </row>
    <row r="5" spans="1:3" ht="15" customHeight="1" x14ac:dyDescent="0.2">
      <c r="A5" s="44" t="s">
        <v>270</v>
      </c>
      <c r="B5" s="45">
        <v>4</v>
      </c>
      <c r="C5" s="46" t="s">
        <v>271</v>
      </c>
    </row>
    <row r="6" spans="1:3" ht="15" customHeight="1" x14ac:dyDescent="0.2">
      <c r="A6" s="44" t="s">
        <v>272</v>
      </c>
      <c r="B6" s="47">
        <v>0.3</v>
      </c>
      <c r="C6" s="46" t="s">
        <v>273</v>
      </c>
    </row>
    <row r="7" spans="1:3" ht="15" customHeight="1" x14ac:dyDescent="0.2">
      <c r="A7" s="44" t="s">
        <v>274</v>
      </c>
      <c r="B7" s="45">
        <v>1</v>
      </c>
      <c r="C7" s="46" t="s">
        <v>275</v>
      </c>
    </row>
    <row r="8" spans="1:3" ht="15" customHeight="1" x14ac:dyDescent="0.2">
      <c r="A8" s="43" t="s">
        <v>276</v>
      </c>
    </row>
    <row r="9" spans="1:3" ht="15" customHeight="1" x14ac:dyDescent="0.2">
      <c r="A9" s="44" t="s">
        <v>277</v>
      </c>
      <c r="B9" s="48">
        <v>15</v>
      </c>
      <c r="C9" s="46" t="s">
        <v>278</v>
      </c>
    </row>
    <row r="10" spans="1:3" ht="15" customHeight="1" x14ac:dyDescent="0.2">
      <c r="A10" s="44" t="s">
        <v>279</v>
      </c>
      <c r="B10" s="49">
        <v>0.01</v>
      </c>
      <c r="C10" s="46" t="s">
        <v>280</v>
      </c>
    </row>
    <row r="11" spans="1:3" ht="15" customHeight="1" x14ac:dyDescent="0.2">
      <c r="A11" s="44" t="s">
        <v>281</v>
      </c>
      <c r="B11" s="49">
        <v>5.5E-2</v>
      </c>
      <c r="C11" s="46" t="s">
        <v>282</v>
      </c>
    </row>
    <row r="12" spans="1:3" ht="15" customHeight="1" x14ac:dyDescent="0.2">
      <c r="A12" s="44" t="s">
        <v>283</v>
      </c>
      <c r="B12" s="50">
        <v>20</v>
      </c>
      <c r="C12" s="46" t="s">
        <v>284</v>
      </c>
    </row>
    <row r="13" spans="1:3" ht="15" customHeight="1" x14ac:dyDescent="0.2">
      <c r="A13" s="44" t="s">
        <v>285</v>
      </c>
      <c r="B13" s="51">
        <v>1.35</v>
      </c>
      <c r="C13" s="46" t="s">
        <v>286</v>
      </c>
    </row>
    <row r="14" spans="1:3" ht="15" customHeight="1" x14ac:dyDescent="0.2">
      <c r="A14" s="44" t="s">
        <v>287</v>
      </c>
      <c r="B14" s="49">
        <v>0.55000000000000004</v>
      </c>
      <c r="C14" s="46" t="s">
        <v>288</v>
      </c>
    </row>
    <row r="15" spans="1:3" ht="15" customHeight="1" x14ac:dyDescent="0.2">
      <c r="A15" s="44" t="s">
        <v>289</v>
      </c>
      <c r="B15" s="49">
        <v>0.2984</v>
      </c>
      <c r="C15" s="46" t="s">
        <v>290</v>
      </c>
    </row>
    <row r="16" spans="1:3" ht="15" customHeight="1" x14ac:dyDescent="0.2">
      <c r="A16" s="44" t="s">
        <v>291</v>
      </c>
      <c r="B16" s="49">
        <v>0.8</v>
      </c>
      <c r="C16" s="46" t="s">
        <v>292</v>
      </c>
    </row>
    <row r="17" spans="1:3" ht="15" customHeight="1" x14ac:dyDescent="0.2">
      <c r="A17" s="44" t="s">
        <v>293</v>
      </c>
      <c r="B17" s="49">
        <v>7.0000000000000007E-2</v>
      </c>
      <c r="C17" s="46" t="s">
        <v>294</v>
      </c>
    </row>
    <row r="18" spans="1:3" ht="15" customHeight="1" x14ac:dyDescent="0.2">
      <c r="A18" s="44" t="s">
        <v>295</v>
      </c>
      <c r="B18" s="48">
        <v>72</v>
      </c>
      <c r="C18" s="46" t="s">
        <v>296</v>
      </c>
    </row>
    <row r="19" spans="1:3" ht="15" customHeight="1" x14ac:dyDescent="0.2">
      <c r="A19" s="44" t="s">
        <v>297</v>
      </c>
      <c r="B19" s="48">
        <v>60</v>
      </c>
      <c r="C19" s="46" t="s">
        <v>298</v>
      </c>
    </row>
    <row r="20" spans="1:3" ht="15" customHeight="1" x14ac:dyDescent="0.2">
      <c r="A20" s="44" t="s">
        <v>299</v>
      </c>
      <c r="B20" s="49">
        <v>1.4999999999999999E-2</v>
      </c>
      <c r="C20" s="46" t="s">
        <v>300</v>
      </c>
    </row>
    <row r="21" spans="1:3" ht="15" customHeight="1" x14ac:dyDescent="0.2">
      <c r="A21" s="44" t="s">
        <v>301</v>
      </c>
      <c r="B21" s="50">
        <v>2</v>
      </c>
      <c r="C21" s="46" t="s">
        <v>302</v>
      </c>
    </row>
    <row r="22" spans="1:3" ht="15" customHeight="1" x14ac:dyDescent="0.2">
      <c r="A22" s="44" t="s">
        <v>303</v>
      </c>
      <c r="B22" s="50">
        <v>6</v>
      </c>
      <c r="C22" s="46" t="s">
        <v>304</v>
      </c>
    </row>
    <row r="23" spans="1:3" ht="15" customHeight="1" x14ac:dyDescent="0.2">
      <c r="A23" s="44" t="s">
        <v>305</v>
      </c>
      <c r="B23" s="52">
        <v>1</v>
      </c>
      <c r="C23" s="46" t="s">
        <v>306</v>
      </c>
    </row>
    <row r="24" spans="1:3" ht="15" customHeight="1" x14ac:dyDescent="0.2">
      <c r="A24" s="44" t="s">
        <v>307</v>
      </c>
      <c r="B24" s="49">
        <v>0.08</v>
      </c>
      <c r="C24" s="46" t="s">
        <v>308</v>
      </c>
    </row>
    <row r="25" spans="1:3" ht="15" customHeight="1" x14ac:dyDescent="0.2">
      <c r="A25" s="44" t="s">
        <v>309</v>
      </c>
      <c r="B25" s="49">
        <v>0.7</v>
      </c>
      <c r="C25" s="46" t="s">
        <v>310</v>
      </c>
    </row>
    <row r="26" spans="1:3" ht="15" customHeight="1" x14ac:dyDescent="0.2">
      <c r="A26" s="44" t="s">
        <v>311</v>
      </c>
      <c r="B26" s="49">
        <v>0.97499999999999998</v>
      </c>
      <c r="C26" s="46" t="s">
        <v>310</v>
      </c>
    </row>
    <row r="27" spans="1:3" ht="15" customHeight="1" x14ac:dyDescent="0.2">
      <c r="A27" s="13" t="s">
        <v>312</v>
      </c>
      <c r="B27" s="53">
        <v>2</v>
      </c>
      <c r="C27" s="9" t="s">
        <v>313</v>
      </c>
    </row>
  </sheetData>
  <phoneticPr fontId="22"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
  <sheetViews>
    <sheetView tabSelected="1" zoomScaleNormal="100" workbookViewId="0">
      <selection activeCell="B21" sqref="B21"/>
    </sheetView>
  </sheetViews>
  <sheetFormatPr baseColWidth="10" defaultColWidth="8.6640625" defaultRowHeight="15" x14ac:dyDescent="0.2"/>
  <cols>
    <col min="1" max="1" width="32" customWidth="1"/>
    <col min="2" max="4" width="18" customWidth="1"/>
    <col min="5" max="5" width="100" customWidth="1"/>
  </cols>
  <sheetData>
    <row r="1" spans="1:5" ht="15.75" customHeight="1" x14ac:dyDescent="0.2">
      <c r="A1" s="7" t="s">
        <v>314</v>
      </c>
    </row>
    <row r="3" spans="1:5" ht="15" customHeight="1" x14ac:dyDescent="0.2">
      <c r="A3" s="43" t="s">
        <v>61</v>
      </c>
      <c r="B3" s="43" t="s">
        <v>315</v>
      </c>
      <c r="C3" s="43" t="s">
        <v>316</v>
      </c>
      <c r="D3" s="43" t="s">
        <v>317</v>
      </c>
      <c r="E3" s="43" t="s">
        <v>318</v>
      </c>
    </row>
    <row r="4" spans="1:5" ht="15" customHeight="1" x14ac:dyDescent="0.2">
      <c r="A4" s="44" t="s">
        <v>319</v>
      </c>
      <c r="B4" s="50">
        <v>100</v>
      </c>
      <c r="C4" s="50">
        <v>150</v>
      </c>
      <c r="D4" s="50">
        <v>100</v>
      </c>
      <c r="E4" s="46" t="s">
        <v>320</v>
      </c>
    </row>
    <row r="5" spans="1:5" ht="15" customHeight="1" x14ac:dyDescent="0.2">
      <c r="A5" s="44" t="s">
        <v>321</v>
      </c>
      <c r="B5" s="49">
        <v>0.27500000000000002</v>
      </c>
      <c r="C5" s="49">
        <v>0.35</v>
      </c>
      <c r="D5" s="49">
        <v>0.9</v>
      </c>
      <c r="E5" s="46" t="s">
        <v>322</v>
      </c>
    </row>
    <row r="6" spans="1:5" ht="15" customHeight="1" x14ac:dyDescent="0.2">
      <c r="A6" s="44" t="s">
        <v>323</v>
      </c>
      <c r="B6" s="49">
        <v>5.0000000000000001E-3</v>
      </c>
      <c r="C6" s="49">
        <v>2E-3</v>
      </c>
      <c r="D6" s="49">
        <v>0</v>
      </c>
      <c r="E6" s="46" t="s">
        <v>324</v>
      </c>
    </row>
    <row r="7" spans="1:5" ht="15" customHeight="1" x14ac:dyDescent="0.2">
      <c r="A7" s="44" t="s">
        <v>325</v>
      </c>
      <c r="B7" s="49">
        <v>0.98</v>
      </c>
      <c r="C7" s="49">
        <v>0.96</v>
      </c>
      <c r="D7" s="49">
        <v>0.95</v>
      </c>
      <c r="E7" s="46" t="s">
        <v>326</v>
      </c>
    </row>
    <row r="8" spans="1:5" ht="15" customHeight="1" x14ac:dyDescent="0.2">
      <c r="A8" s="44" t="s">
        <v>327</v>
      </c>
      <c r="B8" s="49">
        <v>2.5000000000000001E-2</v>
      </c>
      <c r="C8" s="49">
        <v>2.5000000000000001E-2</v>
      </c>
      <c r="D8" s="49">
        <v>2.5000000000000001E-2</v>
      </c>
      <c r="E8" s="46" t="s">
        <v>326</v>
      </c>
    </row>
    <row r="9" spans="1:5" ht="15" customHeight="1" x14ac:dyDescent="0.2">
      <c r="A9" s="44" t="s">
        <v>328</v>
      </c>
      <c r="B9" s="52">
        <v>197</v>
      </c>
      <c r="C9" s="52">
        <v>321.39999999999998</v>
      </c>
      <c r="D9" s="52">
        <v>568.25</v>
      </c>
      <c r="E9" s="46" t="s">
        <v>329</v>
      </c>
    </row>
    <row r="10" spans="1:5" ht="15" customHeight="1" x14ac:dyDescent="0.2">
      <c r="A10" s="44" t="s">
        <v>330</v>
      </c>
      <c r="B10" s="52">
        <v>180</v>
      </c>
      <c r="C10" s="52">
        <v>296.25</v>
      </c>
      <c r="D10" s="52">
        <v>531.25</v>
      </c>
      <c r="E10" s="46" t="s">
        <v>331</v>
      </c>
    </row>
    <row r="11" spans="1:5" ht="15" customHeight="1" x14ac:dyDescent="0.2">
      <c r="A11" s="44" t="s">
        <v>332</v>
      </c>
      <c r="B11" s="52">
        <v>12</v>
      </c>
      <c r="C11" s="52">
        <v>18</v>
      </c>
      <c r="D11" s="52">
        <v>12</v>
      </c>
      <c r="E11" s="46" t="s">
        <v>333</v>
      </c>
    </row>
    <row r="12" spans="1:5" ht="15" customHeight="1" x14ac:dyDescent="0.2">
      <c r="A12" s="44" t="s">
        <v>334</v>
      </c>
      <c r="B12" s="52">
        <v>3</v>
      </c>
      <c r="C12" s="52">
        <v>6.375</v>
      </c>
      <c r="D12" s="52">
        <v>4.625</v>
      </c>
      <c r="E12" s="46" t="s">
        <v>335</v>
      </c>
    </row>
    <row r="13" spans="1:5" ht="15" customHeight="1" x14ac:dyDescent="0.2">
      <c r="A13" s="44" t="s">
        <v>336</v>
      </c>
      <c r="B13" s="52">
        <v>1.0880000000000001</v>
      </c>
      <c r="C13" s="52">
        <v>1.5860000000000001</v>
      </c>
      <c r="D13" s="52">
        <v>2.573</v>
      </c>
      <c r="E13" s="46" t="s">
        <v>337</v>
      </c>
    </row>
    <row r="14" spans="1:5" ht="15" customHeight="1" x14ac:dyDescent="0.2">
      <c r="A14" s="44" t="s">
        <v>338</v>
      </c>
      <c r="B14" s="52">
        <v>0.75</v>
      </c>
      <c r="C14" s="52">
        <v>1.125</v>
      </c>
      <c r="D14" s="52">
        <v>0.75</v>
      </c>
      <c r="E14" s="46" t="s">
        <v>339</v>
      </c>
    </row>
    <row r="15" spans="1:5" ht="15" customHeight="1" x14ac:dyDescent="0.2">
      <c r="A15" s="44" t="s">
        <v>340</v>
      </c>
      <c r="B15" s="50">
        <v>25</v>
      </c>
      <c r="C15" s="50">
        <v>25</v>
      </c>
      <c r="D15" s="50">
        <v>30</v>
      </c>
      <c r="E15" s="46" t="s">
        <v>341</v>
      </c>
    </row>
    <row r="16" spans="1:5" ht="21.75" customHeight="1" x14ac:dyDescent="0.2">
      <c r="A16" s="27" t="s">
        <v>342</v>
      </c>
      <c r="B16" s="54">
        <f ca="1">IF(Inputs!$B$27=1,Inputs!$B$19,M4_Pricing!B19)</f>
        <v>121.25624195259209</v>
      </c>
      <c r="C16" s="54">
        <f ca="1">IF(Inputs!$B$27=1,Inputs!$B$19,M4_Pricing!C19)</f>
        <v>116.35372456322258</v>
      </c>
      <c r="D16" s="54">
        <f ca="1">IF(Inputs!$B$27=1,Inputs!$B$19,M4_Pricing!D19)</f>
        <v>108.93487410738072</v>
      </c>
      <c r="E16" s="15" t="s">
        <v>343</v>
      </c>
    </row>
    <row r="17" spans="1:5" ht="15" customHeight="1" x14ac:dyDescent="0.2">
      <c r="A17" s="13" t="s">
        <v>344</v>
      </c>
      <c r="B17" s="26">
        <f>Inputs!$B$19</f>
        <v>60</v>
      </c>
      <c r="C17" s="26">
        <f>Inputs!$B$19</f>
        <v>60</v>
      </c>
      <c r="D17" s="26">
        <f>Inputs!$B$19</f>
        <v>60</v>
      </c>
      <c r="E17" s="9" t="s">
        <v>345</v>
      </c>
    </row>
    <row r="18" spans="1:5" ht="15" customHeight="1" x14ac:dyDescent="0.2">
      <c r="A18" s="42" t="s">
        <v>346</v>
      </c>
    </row>
    <row r="19" spans="1:5" ht="15" customHeight="1" x14ac:dyDescent="0.2">
      <c r="A19" s="42" t="s">
        <v>347</v>
      </c>
    </row>
    <row r="20" spans="1:5" ht="15" customHeight="1" x14ac:dyDescent="0.2">
      <c r="A20" s="42" t="s">
        <v>348</v>
      </c>
    </row>
  </sheetData>
  <phoneticPr fontId="22" type="noConversion"/>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0"/>
  <sheetViews>
    <sheetView zoomScaleNormal="100" workbookViewId="0"/>
  </sheetViews>
  <sheetFormatPr baseColWidth="10" defaultColWidth="8.6640625" defaultRowHeight="15" x14ac:dyDescent="0.2"/>
  <cols>
    <col min="1" max="1" width="40" customWidth="1"/>
    <col min="2" max="7" width="13" customWidth="1"/>
  </cols>
  <sheetData>
    <row r="1" spans="1:7" ht="15.75" customHeight="1" x14ac:dyDescent="0.2">
      <c r="A1" s="7" t="s">
        <v>349</v>
      </c>
    </row>
    <row r="3" spans="1:7" ht="15" customHeight="1" x14ac:dyDescent="0.2">
      <c r="B3" s="43" t="s">
        <v>350</v>
      </c>
      <c r="C3" s="43" t="s">
        <v>351</v>
      </c>
      <c r="D3" s="43" t="s">
        <v>352</v>
      </c>
      <c r="E3" s="43" t="s">
        <v>353</v>
      </c>
      <c r="F3" s="43" t="s">
        <v>354</v>
      </c>
      <c r="G3" s="43" t="s">
        <v>355</v>
      </c>
    </row>
    <row r="4" spans="1:7" ht="15" customHeight="1" x14ac:dyDescent="0.2">
      <c r="A4" s="44" t="s">
        <v>356</v>
      </c>
      <c r="B4" s="55">
        <f>Configurations!$B$9</f>
        <v>197</v>
      </c>
      <c r="C4" s="55">
        <f>Configurations!$B$9+Configurations!$B$11</f>
        <v>209</v>
      </c>
      <c r="D4" s="55">
        <f>Configurations!$C$9</f>
        <v>321.39999999999998</v>
      </c>
      <c r="E4" s="55">
        <f>Configurations!$C$9+Configurations!$C$11</f>
        <v>339.4</v>
      </c>
      <c r="F4" s="55">
        <f>Configurations!$D$9</f>
        <v>568.25</v>
      </c>
      <c r="G4" s="55">
        <f>Configurations!$D$9+Configurations!$D$11</f>
        <v>580.25</v>
      </c>
    </row>
    <row r="5" spans="1:7" ht="15" customHeight="1" x14ac:dyDescent="0.2">
      <c r="A5" s="44" t="s">
        <v>357</v>
      </c>
      <c r="B5" s="56">
        <f>Configurations!$B$4*Configurations!$B$5*8760*Configurations!$B$7*(1-Configurations!$B$8)</f>
        <v>230179.95</v>
      </c>
      <c r="C5" s="56">
        <f>Configurations!$B$4*Configurations!$B$5*8760*Configurations!$B$7*(1-Configurations!$B$8)</f>
        <v>230179.95</v>
      </c>
      <c r="D5" s="56">
        <f>Configurations!$C$4*Configurations!$C$5*8760*Configurations!$C$7*(1-Configurations!$C$8)</f>
        <v>430466.39999999997</v>
      </c>
      <c r="E5" s="56">
        <f>Configurations!$C$4*Configurations!$C$5*8760*Configurations!$C$7*(1-Configurations!$C$8)</f>
        <v>430466.39999999997</v>
      </c>
      <c r="F5" s="56">
        <f>Configurations!$D$4*Configurations!$D$5*8760*Configurations!$D$7*(1-Configurations!$D$8)</f>
        <v>730255.5</v>
      </c>
      <c r="G5" s="56">
        <f>Configurations!$D$4*Configurations!$D$5*8760*Configurations!$D$7*(1-Configurations!$D$8)</f>
        <v>730255.5</v>
      </c>
    </row>
    <row r="6" spans="1:7" ht="15" customHeight="1" x14ac:dyDescent="0.2">
      <c r="A6" s="44" t="s">
        <v>358</v>
      </c>
      <c r="B6" s="55">
        <f>B5*Inputs!$B$18/1000000</f>
        <v>16.572956399999999</v>
      </c>
      <c r="C6" s="55">
        <f>C5*Inputs!$B$18/1000000</f>
        <v>16.572956399999999</v>
      </c>
      <c r="D6" s="55">
        <f>D5*Inputs!$B$18/1000000</f>
        <v>30.993580799999997</v>
      </c>
      <c r="E6" s="55">
        <f>E5*Inputs!$B$18/1000000</f>
        <v>30.993580799999997</v>
      </c>
      <c r="F6" s="55">
        <f>F5*Inputs!$B$18/1000000</f>
        <v>52.578395999999998</v>
      </c>
      <c r="G6" s="55">
        <f>G5*Inputs!$B$18/1000000</f>
        <v>52.578395999999998</v>
      </c>
    </row>
    <row r="7" spans="1:7" ht="15" customHeight="1" x14ac:dyDescent="0.2">
      <c r="A7" s="44" t="s">
        <v>359</v>
      </c>
      <c r="B7" s="55">
        <f>Configurations!$B$12+Configurations!$B$13+Inputs!$B$20*B6</f>
        <v>4.336594346</v>
      </c>
      <c r="C7" s="55">
        <f>Configurations!$B$12+Configurations!$B$13+Configurations!$B$14+Inputs!$B$20*C6</f>
        <v>5.086594346</v>
      </c>
      <c r="D7" s="55">
        <f>Configurations!$C$12+Configurations!$C$13+Inputs!$B$20*D6</f>
        <v>8.4259037120000002</v>
      </c>
      <c r="E7" s="55">
        <f>Configurations!$C$12+Configurations!$C$13+Configurations!$C$14+Inputs!$B$20*E6</f>
        <v>9.5509037120000002</v>
      </c>
      <c r="F7" s="55">
        <f>Configurations!$D$12+Configurations!$D$13+Inputs!$B$20*F6</f>
        <v>7.9866759400000005</v>
      </c>
      <c r="G7" s="55">
        <f>Configurations!$D$12+Configurations!$D$13+Configurations!$D$14+Inputs!$B$20*G6</f>
        <v>8.7366759399999996</v>
      </c>
    </row>
    <row r="8" spans="1:7" ht="15" customHeight="1" x14ac:dyDescent="0.2">
      <c r="A8" s="44" t="s">
        <v>360</v>
      </c>
      <c r="B8" s="55">
        <f t="shared" ref="B8:G8" si="0">B6-B7</f>
        <v>12.236362053999999</v>
      </c>
      <c r="C8" s="55">
        <f t="shared" si="0"/>
        <v>11.486362053999999</v>
      </c>
      <c r="D8" s="55">
        <f t="shared" si="0"/>
        <v>22.567677087999996</v>
      </c>
      <c r="E8" s="55">
        <f t="shared" si="0"/>
        <v>21.442677087999996</v>
      </c>
      <c r="F8" s="55">
        <f t="shared" si="0"/>
        <v>44.59172006</v>
      </c>
      <c r="G8" s="55">
        <f t="shared" si="0"/>
        <v>43.84172006</v>
      </c>
    </row>
    <row r="9" spans="1:7" ht="15" customHeight="1" x14ac:dyDescent="0.2">
      <c r="A9" s="44" t="s">
        <v>361</v>
      </c>
      <c r="B9" s="55">
        <f>B8/Inputs!$B$13</f>
        <v>9.0639718918518497</v>
      </c>
      <c r="C9" s="55">
        <f>C8/Inputs!$B$13</f>
        <v>8.5084163362962943</v>
      </c>
      <c r="D9" s="55">
        <f>D8/Inputs!$B$13</f>
        <v>16.716797842962958</v>
      </c>
      <c r="E9" s="55">
        <f>E8/Inputs!$B$13</f>
        <v>15.883464509629626</v>
      </c>
      <c r="F9" s="55">
        <f>F8/Inputs!$B$13</f>
        <v>33.030903748148148</v>
      </c>
      <c r="G9" s="55">
        <f>G8/Inputs!$B$13</f>
        <v>32.475348192592591</v>
      </c>
    </row>
    <row r="10" spans="1:7" ht="15" customHeight="1" x14ac:dyDescent="0.2">
      <c r="A10" s="44" t="s">
        <v>362</v>
      </c>
      <c r="B10" s="55">
        <f>B9*(1-(1+Inputs!$B$11)^-Inputs!$B$12)/Inputs!$B$11</f>
        <v>108.31793094026871</v>
      </c>
      <c r="C10" s="55">
        <f>C9*(1-(1+Inputs!$B$11)^-Inputs!$B$12)/Inputs!$B$11</f>
        <v>101.678829559753</v>
      </c>
      <c r="D10" s="55">
        <f>D9*(1-(1+Inputs!$B$11)^-Inputs!$B$12)/Inputs!$B$11</f>
        <v>199.77212814663162</v>
      </c>
      <c r="E10" s="55">
        <f>E9*(1-(1+Inputs!$B$11)^-Inputs!$B$12)/Inputs!$B$11</f>
        <v>189.81347607585803</v>
      </c>
      <c r="F10" s="55">
        <f>F9*(1-(1+Inputs!$B$11)^-Inputs!$B$12)/Inputs!$B$11</f>
        <v>394.73193361322194</v>
      </c>
      <c r="G10" s="55">
        <f>G9*(1-(1+Inputs!$B$11)^-Inputs!$B$12)/Inputs!$B$11</f>
        <v>388.0928322327062</v>
      </c>
    </row>
    <row r="11" spans="1:7" ht="15" customHeight="1" x14ac:dyDescent="0.2">
      <c r="A11" s="44" t="s">
        <v>363</v>
      </c>
      <c r="B11" s="55">
        <f>MIN(B10,Inputs!$B$14*B4)</f>
        <v>108.31793094026871</v>
      </c>
      <c r="C11" s="55">
        <f>MIN(C10,Inputs!$B$14*C4)</f>
        <v>101.678829559753</v>
      </c>
      <c r="D11" s="55">
        <f>MIN(D10,Inputs!$B$14*D4)</f>
        <v>176.77</v>
      </c>
      <c r="E11" s="55">
        <f>MIN(E10,Inputs!$B$14*E4)</f>
        <v>186.67000000000002</v>
      </c>
      <c r="F11" s="55">
        <f>MIN(F10,Inputs!$B$14*F4)</f>
        <v>312.53750000000002</v>
      </c>
      <c r="G11" s="55">
        <f>MIN(G10,Inputs!$B$14*G4)</f>
        <v>319.13750000000005</v>
      </c>
    </row>
    <row r="12" spans="1:7" ht="15" customHeight="1" x14ac:dyDescent="0.2">
      <c r="A12" s="44" t="s">
        <v>364</v>
      </c>
      <c r="B12" s="55">
        <f>B11/((1-(1+Inputs!$B$11)^-Inputs!$B$12)/Inputs!$B$11)</f>
        <v>9.0639718918518497</v>
      </c>
      <c r="C12" s="55">
        <f>C11/((1-(1+Inputs!$B$11)^-Inputs!$B$12)/Inputs!$B$11)</f>
        <v>8.5084163362962943</v>
      </c>
      <c r="D12" s="55">
        <f>D11/((1-(1+Inputs!$B$11)^-Inputs!$B$12)/Inputs!$B$11)</f>
        <v>14.791995170275147</v>
      </c>
      <c r="E12" s="55">
        <f>E11/((1-(1+Inputs!$B$11)^-Inputs!$B$12)/Inputs!$B$11)</f>
        <v>15.620420537620987</v>
      </c>
      <c r="F12" s="55">
        <f>F11/((1-(1+Inputs!$B$11)^-Inputs!$B$12)/Inputs!$B$11)</f>
        <v>26.152928610792944</v>
      </c>
      <c r="G12" s="55">
        <f>G11/((1-(1+Inputs!$B$11)^-Inputs!$B$12)/Inputs!$B$11)</f>
        <v>26.705212189023506</v>
      </c>
    </row>
    <row r="13" spans="1:7" ht="15" customHeight="1" x14ac:dyDescent="0.2">
      <c r="A13" s="44" t="s">
        <v>365</v>
      </c>
      <c r="B13" s="55">
        <f>IF(Inputs!$B$7=1,Configurations!$B$10*Inputs!$B$6,0)</f>
        <v>54</v>
      </c>
      <c r="C13" s="55">
        <f>IF(Inputs!$B$7=1,Configurations!$B$10*Inputs!$B$6,0)</f>
        <v>54</v>
      </c>
      <c r="D13" s="55">
        <f>IF(Inputs!$B$7=1,Configurations!$C$10*Inputs!$B$6,0)</f>
        <v>88.875</v>
      </c>
      <c r="E13" s="55">
        <f>IF(Inputs!$B$7=1,Configurations!$C$10*Inputs!$B$6,0)</f>
        <v>88.875</v>
      </c>
      <c r="F13" s="55">
        <f>IF(Inputs!$B$7=1,Configurations!$D$10*Inputs!$B$6,0)</f>
        <v>159.375</v>
      </c>
      <c r="G13" s="55">
        <f>IF(Inputs!$B$7=1,Configurations!$D$10*Inputs!$B$6,0)</f>
        <v>159.375</v>
      </c>
    </row>
    <row r="14" spans="1:7" ht="15" customHeight="1" x14ac:dyDescent="0.2">
      <c r="A14" s="44" t="s">
        <v>366</v>
      </c>
      <c r="B14" s="56">
        <f>Inputs!$B$21+Inputs!$B$5+1</f>
        <v>7</v>
      </c>
      <c r="C14" s="56">
        <f>Inputs!$B$21+1</f>
        <v>3</v>
      </c>
      <c r="D14" s="56">
        <f>Inputs!$B$21+Inputs!$B$5+1</f>
        <v>7</v>
      </c>
      <c r="E14" s="56">
        <f>Inputs!$B$21+1</f>
        <v>3</v>
      </c>
      <c r="F14" s="56">
        <f>Inputs!$B$21+Inputs!$B$5+1</f>
        <v>7</v>
      </c>
      <c r="G14" s="56">
        <f>Inputs!$B$21+1</f>
        <v>3</v>
      </c>
    </row>
    <row r="15" spans="1:7" ht="15" customHeight="1" x14ac:dyDescent="0.2">
      <c r="A15" s="44" t="s">
        <v>367</v>
      </c>
      <c r="B15" s="55">
        <f>IF(Inputs!$B$7=2,B5*Inputs!$B$9/1000000*(1-(1+Inputs!$B$17)^-10)/Inputs!$B$17/(1+Inputs!$B$17)^(B14-1),0)</f>
        <v>0</v>
      </c>
      <c r="C15" s="55">
        <f>IF(Inputs!$B$7=2,C5*Inputs!$B$9/1000000*(1-(1+Inputs!$B$17)^-10)/Inputs!$B$17/(1+Inputs!$B$17)^(C14-1),0)</f>
        <v>0</v>
      </c>
      <c r="D15" s="55">
        <f>IF(Inputs!$B$7=2,D5*Inputs!$B$9/1000000*(1-(1+Inputs!$B$17)^-10)/Inputs!$B$17/(1+Inputs!$B$17)^(D14-1),0)</f>
        <v>0</v>
      </c>
      <c r="E15" s="55">
        <f>IF(Inputs!$B$7=2,E5*Inputs!$B$9/1000000*(1-(1+Inputs!$B$17)^-10)/Inputs!$B$17/(1+Inputs!$B$17)^(E14-1),0)</f>
        <v>0</v>
      </c>
      <c r="F15" s="55">
        <f>IF(Inputs!$B$7=2,F5*Inputs!$B$9/1000000*(1-(1+Inputs!$B$17)^-10)/Inputs!$B$17/(1+Inputs!$B$17)^(F14-1),0)</f>
        <v>0</v>
      </c>
      <c r="G15" s="55">
        <f>IF(Inputs!$B$7=2,G5*Inputs!$B$9/1000000*(1-(1+Inputs!$B$17)^-10)/Inputs!$B$17/(1+Inputs!$B$17)^(G14-1),0)</f>
        <v>0</v>
      </c>
    </row>
    <row r="16" spans="1:7" ht="15" customHeight="1" x14ac:dyDescent="0.2">
      <c r="A16" s="44" t="s">
        <v>368</v>
      </c>
      <c r="B16" s="55">
        <f>IF(Inputs!$B$7=1,Configurations!$B$10-0.5*B13,Configurations!$B$10)</f>
        <v>153</v>
      </c>
      <c r="C16" s="55">
        <f>IF(Inputs!$B$7=1,Configurations!$B$10-0.5*C13,Configurations!$B$10)</f>
        <v>153</v>
      </c>
      <c r="D16" s="55">
        <f>IF(Inputs!$B$7=1,Configurations!$C$10-0.5*D13,Configurations!$C$10)</f>
        <v>251.8125</v>
      </c>
      <c r="E16" s="55">
        <f>IF(Inputs!$B$7=1,Configurations!$C$10-0.5*E13,Configurations!$C$10)</f>
        <v>251.8125</v>
      </c>
      <c r="F16" s="55">
        <f>IF(Inputs!$B$7=1,Configurations!$D$10-0.5*F13,Configurations!$D$10)</f>
        <v>451.5625</v>
      </c>
      <c r="G16" s="55">
        <f>IF(Inputs!$B$7=1,Configurations!$D$10-0.5*G13,Configurations!$D$10)</f>
        <v>451.5625</v>
      </c>
    </row>
    <row r="17" spans="1:7" ht="15" customHeight="1" x14ac:dyDescent="0.2">
      <c r="A17" s="44" t="s">
        <v>369</v>
      </c>
      <c r="B17" s="55">
        <f ca="1">SUMPRODUCT($B$25:$B$30,B16*Inputs!$B$15/(1+Inputs!$B$17)^ROW(INDIRECT("1:6")))</f>
        <v>37.964504934922111</v>
      </c>
      <c r="C17" s="55">
        <f ca="1">SUMPRODUCT($B$25:$B$30,C16*Inputs!$B$15/(1+Inputs!$B$17)^ROW(INDIRECT("1:6")))</f>
        <v>37.964504934922111</v>
      </c>
      <c r="D17" s="55">
        <f ca="1">SUMPRODUCT($B$25:$B$30,D16*Inputs!$B$15/(1+Inputs!$B$17)^ROW(INDIRECT("1:6")))</f>
        <v>62.483247705392657</v>
      </c>
      <c r="E17" s="55">
        <f ca="1">SUMPRODUCT($B$25:$B$30,E16*Inputs!$B$15/(1+Inputs!$B$17)^ROW(INDIRECT("1:6")))</f>
        <v>62.483247705392657</v>
      </c>
      <c r="F17" s="55">
        <f ca="1">SUMPRODUCT($B$25:$B$30,F16*Inputs!$B$15/(1+Inputs!$B$17)^ROW(INDIRECT("1:6")))</f>
        <v>112.04801803709654</v>
      </c>
      <c r="G17" s="55">
        <f ca="1">SUMPRODUCT($B$25:$B$30,G16*Inputs!$B$15/(1+Inputs!$B$17)^ROW(INDIRECT("1:6")))</f>
        <v>112.04801803709654</v>
      </c>
    </row>
    <row r="18" spans="1:7" ht="15" customHeight="1" x14ac:dyDescent="0.2">
      <c r="A18" s="44" t="s">
        <v>370</v>
      </c>
      <c r="B18" s="55">
        <f ca="1">IF(Inputs!$B$6=0,0,Inputs!$B$16*(B13+B15+B17))</f>
        <v>73.571603947937689</v>
      </c>
      <c r="C18" s="55">
        <f ca="1">IF(Inputs!$B$6=0,0,Inputs!$B$16*(C13+C15+C17))</f>
        <v>73.571603947937689</v>
      </c>
      <c r="D18" s="55">
        <f ca="1">IF(Inputs!$B$6=0,0,Inputs!$B$16*(D13+D15+D17))</f>
        <v>121.08659816431414</v>
      </c>
      <c r="E18" s="55">
        <f ca="1">IF(Inputs!$B$6=0,0,Inputs!$B$16*(E13+E15+E17))</f>
        <v>121.08659816431414</v>
      </c>
      <c r="F18" s="55">
        <f ca="1">IF(Inputs!$B$6=0,0,Inputs!$B$16*(F13+F15+F17))</f>
        <v>217.13841442967725</v>
      </c>
      <c r="G18" s="55">
        <f ca="1">IF(Inputs!$B$6=0,0,Inputs!$B$16*(G13+G15+G17))</f>
        <v>217.13841442967725</v>
      </c>
    </row>
    <row r="19" spans="1:7" ht="15" customHeight="1" x14ac:dyDescent="0.2">
      <c r="A19" s="44" t="s">
        <v>371</v>
      </c>
      <c r="B19" s="55">
        <f t="shared" ref="B19:G19" ca="1" si="1">B4-B11-B18</f>
        <v>15.110465111793602</v>
      </c>
      <c r="C19" s="55">
        <f t="shared" ca="1" si="1"/>
        <v>33.749566492309313</v>
      </c>
      <c r="D19" s="55">
        <f t="shared" ca="1" si="1"/>
        <v>23.543401835685827</v>
      </c>
      <c r="E19" s="55">
        <f t="shared" ca="1" si="1"/>
        <v>31.643401835685822</v>
      </c>
      <c r="F19" s="55">
        <f t="shared" ca="1" si="1"/>
        <v>38.574085570322723</v>
      </c>
      <c r="G19" s="55">
        <f t="shared" ca="1" si="1"/>
        <v>43.9740855703227</v>
      </c>
    </row>
    <row r="21" spans="1:7" ht="15" customHeight="1" x14ac:dyDescent="0.2">
      <c r="A21" s="42" t="s">
        <v>372</v>
      </c>
    </row>
    <row r="22" spans="1:7" ht="15" customHeight="1" x14ac:dyDescent="0.2">
      <c r="A22" s="42" t="s">
        <v>373</v>
      </c>
    </row>
    <row r="24" spans="1:7" ht="15" customHeight="1" x14ac:dyDescent="0.2">
      <c r="A24" s="57" t="s">
        <v>374</v>
      </c>
    </row>
    <row r="25" spans="1:7" ht="15" customHeight="1" x14ac:dyDescent="0.2">
      <c r="A25" s="44" t="s">
        <v>375</v>
      </c>
      <c r="B25" s="58">
        <v>0.2</v>
      </c>
    </row>
    <row r="26" spans="1:7" ht="15" customHeight="1" x14ac:dyDescent="0.2">
      <c r="A26" s="44" t="s">
        <v>376</v>
      </c>
      <c r="B26" s="58">
        <v>0.32</v>
      </c>
    </row>
    <row r="27" spans="1:7" ht="15" customHeight="1" x14ac:dyDescent="0.2">
      <c r="A27" s="44" t="s">
        <v>377</v>
      </c>
      <c r="B27" s="58">
        <v>0.192</v>
      </c>
    </row>
    <row r="28" spans="1:7" ht="15" customHeight="1" x14ac:dyDescent="0.2">
      <c r="A28" s="44" t="s">
        <v>378</v>
      </c>
      <c r="B28" s="58">
        <v>0.1152</v>
      </c>
    </row>
    <row r="29" spans="1:7" ht="15" customHeight="1" x14ac:dyDescent="0.2">
      <c r="A29" s="44" t="s">
        <v>379</v>
      </c>
      <c r="B29" s="58">
        <v>0.1152</v>
      </c>
    </row>
    <row r="30" spans="1:7" ht="15" customHeight="1" x14ac:dyDescent="0.2">
      <c r="A30" s="44" t="s">
        <v>380</v>
      </c>
      <c r="B30" s="58">
        <v>5.7599999999999998E-2</v>
      </c>
    </row>
  </sheetData>
  <phoneticPr fontId="22" type="noConversion"/>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7"/>
  <sheetViews>
    <sheetView zoomScaleNormal="100" workbookViewId="0"/>
  </sheetViews>
  <sheetFormatPr baseColWidth="10" defaultColWidth="8.6640625" defaultRowHeight="15" x14ac:dyDescent="0.2"/>
  <cols>
    <col min="1" max="1" width="6" customWidth="1"/>
    <col min="2" max="2" width="12" customWidth="1"/>
    <col min="4" max="13" width="13" customWidth="1"/>
  </cols>
  <sheetData>
    <row r="1" spans="1:13" ht="15.75" customHeight="1" x14ac:dyDescent="0.2">
      <c r="A1" s="7" t="s">
        <v>381</v>
      </c>
    </row>
    <row r="2" spans="1:13" ht="15" customHeight="1" x14ac:dyDescent="0.2">
      <c r="A2" s="57" t="s">
        <v>382</v>
      </c>
      <c r="B2" s="59">
        <f ca="1">IRR(K5:K37)</f>
        <v>4.0713705357377838E-2</v>
      </c>
      <c r="C2" s="57" t="s">
        <v>383</v>
      </c>
      <c r="D2" s="60">
        <f>IRR(M5:M37)</f>
        <v>9.1238665648731843E-3</v>
      </c>
      <c r="E2" s="57" t="s">
        <v>384</v>
      </c>
      <c r="F2" s="61">
        <f ca="1">K5+NPV(Inputs!$B$24,K6:K37)</f>
        <v>-15.396579623722749</v>
      </c>
    </row>
    <row r="4" spans="1:13" ht="26.25" customHeight="1" x14ac:dyDescent="0.2">
      <c r="A4" s="62" t="s">
        <v>64</v>
      </c>
      <c r="B4" s="62" t="s">
        <v>385</v>
      </c>
      <c r="C4" s="62" t="s">
        <v>386</v>
      </c>
      <c r="D4" s="62" t="s">
        <v>387</v>
      </c>
      <c r="E4" s="62" t="s">
        <v>388</v>
      </c>
      <c r="F4" s="62" t="s">
        <v>389</v>
      </c>
      <c r="G4" s="62" t="s">
        <v>390</v>
      </c>
      <c r="H4" s="62" t="s">
        <v>391</v>
      </c>
      <c r="I4" s="62" t="s">
        <v>392</v>
      </c>
      <c r="J4" s="62" t="s">
        <v>393</v>
      </c>
      <c r="K4" s="62" t="s">
        <v>394</v>
      </c>
      <c r="L4" s="62" t="s">
        <v>395</v>
      </c>
      <c r="M4" s="62" t="s">
        <v>396</v>
      </c>
    </row>
    <row r="5" spans="1:13" ht="15" customHeight="1" x14ac:dyDescent="0.2">
      <c r="A5" s="44">
        <v>0</v>
      </c>
      <c r="B5" s="44" t="str">
        <f>IF(A5=0,"Equity",IF(A5&lt;=Inputs!$B$21,"Construction",IF(A5&lt;=Inputs!$B$21+Inputs!$B$5,"Queue wait",IF(A5&lt;=Inputs!$B$21+Configurations!$B$15,"Grid ops"," "))))</f>
        <v>Equity</v>
      </c>
      <c r="C5" s="44" t="str">
        <f>IF(A5&lt;=Inputs!$B$21,"",A5-Inputs!$B$21-1)</f>
        <v/>
      </c>
      <c r="D5" s="56">
        <f>IF(OR(A5&lt;=Inputs!$B$21,A5&gt;Inputs!$B$21+Configurations!$B$15),0,Configurations!$B$4*Configurations!$B$5*8760*(1-Configurations!$B$6)^C5*Configurations!$B$7*(1-Configurations!$B$8))</f>
        <v>0</v>
      </c>
      <c r="E5" s="55">
        <f>IF(OR(A5&lt;=Inputs!$B$21,A5&gt;Inputs!$B$21+Configurations!$B$15),0,IF(A5&lt;=Inputs!$B$21+Inputs!$B$5,0,D5*Inputs!$B$18/1000000))</f>
        <v>0</v>
      </c>
      <c r="F5" s="55">
        <f>IF(OR(A5&lt;=Inputs!$B$21,A5&gt;Inputs!$B$21+Configurations!$B$15),0,IF(A5&lt;=Inputs!$B$21+Inputs!$B$5,Configurations!$B$13,Configurations!$B$12+Configurations!$B$13+Inputs!$B$20*E5))</f>
        <v>0</v>
      </c>
      <c r="G5" s="55">
        <f t="shared" ref="G5:G37" si="0">E5-F5</f>
        <v>0</v>
      </c>
      <c r="H5" s="63">
        <f>IF(AND(A5&gt;Inputs!$B$21,A5&lt;=Inputs!$B$21+Inputs!$B$12),Capitalization!B$12,0)</f>
        <v>0</v>
      </c>
      <c r="I5" s="55">
        <f t="shared" ref="I5:I37" si="1">G5-H5</f>
        <v>0</v>
      </c>
      <c r="J5" s="64" t="str">
        <f>IF(A5&lt;=Inputs!$B$21,"",IF(AND(A5&lt;=Inputs!$B$22,Capitalization!B$18&gt;0),Inputs!$B$25,Inputs!$B$26))</f>
        <v/>
      </c>
      <c r="K5" s="55">
        <f ca="1">IF(A5=0,-Capitalization!B$19,IF(A5&lt;=Inputs!$B$21,0,I5*J5-IF(AND(A5=Inputs!$B$22,Capitalization!B$18&gt;0),Inputs!$B$23,0)))</f>
        <v>-15.110465111793602</v>
      </c>
      <c r="L5" s="65" t="str">
        <f t="shared" ref="L5:L37" si="2">IF(H5&gt;0,G5/H5,"")</f>
        <v/>
      </c>
      <c r="M5" s="55">
        <f>IF(A5=0,-Capitalization!B$4,IF(A5&lt;=Inputs!$B$21,0,G5))</f>
        <v>-197</v>
      </c>
    </row>
    <row r="6" spans="1:13" ht="15" customHeight="1" x14ac:dyDescent="0.2">
      <c r="A6" s="44">
        <v>1</v>
      </c>
      <c r="B6" s="44" t="str">
        <f>IF(A6=0,"Equity",IF(A6&lt;=Inputs!$B$21,"Construction",IF(A6&lt;=Inputs!$B$21+Inputs!$B$5,"Queue wait",IF(A6&lt;=Inputs!$B$21+Configurations!$B$15,"Grid ops"," "))))</f>
        <v>Construction</v>
      </c>
      <c r="C6" s="44" t="str">
        <f>IF(A6&lt;=Inputs!$B$21,"",A6-Inputs!$B$21-1)</f>
        <v/>
      </c>
      <c r="D6" s="56">
        <f>IF(OR(A6&lt;=Inputs!$B$21,A6&gt;Inputs!$B$21+Configurations!$B$15),0,Configurations!$B$4*Configurations!$B$5*8760*(1-Configurations!$B$6)^C6*Configurations!$B$7*(1-Configurations!$B$8))</f>
        <v>0</v>
      </c>
      <c r="E6" s="55">
        <f>IF(OR(A6&lt;=Inputs!$B$21,A6&gt;Inputs!$B$21+Configurations!$B$15),0,IF(A6&lt;=Inputs!$B$21+Inputs!$B$5,0,D6*Inputs!$B$18/1000000))</f>
        <v>0</v>
      </c>
      <c r="F6" s="55">
        <f>IF(OR(A6&lt;=Inputs!$B$21,A6&gt;Inputs!$B$21+Configurations!$B$15),0,IF(A6&lt;=Inputs!$B$21+Inputs!$B$5,Configurations!$B$13,Configurations!$B$12+Configurations!$B$13+Inputs!$B$20*E6))</f>
        <v>0</v>
      </c>
      <c r="G6" s="55">
        <f t="shared" si="0"/>
        <v>0</v>
      </c>
      <c r="H6" s="63">
        <f>IF(AND(A6&gt;Inputs!$B$21,A6&lt;=Inputs!$B$21+Inputs!$B$12),Capitalization!B$12,0)</f>
        <v>0</v>
      </c>
      <c r="I6" s="55">
        <f t="shared" si="1"/>
        <v>0</v>
      </c>
      <c r="J6" s="64" t="str">
        <f>IF(A6&lt;=Inputs!$B$21,"",IF(AND(A6&lt;=Inputs!$B$22,Capitalization!B$18&gt;0),Inputs!$B$25,Inputs!$B$26))</f>
        <v/>
      </c>
      <c r="K6" s="55">
        <f>IF(A6=0,-Capitalization!B$19,IF(A6&lt;=Inputs!$B$21,0,I6*J6-IF(AND(A6=Inputs!$B$22,Capitalization!B$18&gt;0),Inputs!$B$23,0)))</f>
        <v>0</v>
      </c>
      <c r="L6" s="65" t="str">
        <f t="shared" si="2"/>
        <v/>
      </c>
      <c r="M6" s="55">
        <f>IF(A6=0,-Capitalization!B$4,IF(A6&lt;=Inputs!$B$21,0,G6))</f>
        <v>0</v>
      </c>
    </row>
    <row r="7" spans="1:13" ht="15" customHeight="1" x14ac:dyDescent="0.2">
      <c r="A7" s="44">
        <v>2</v>
      </c>
      <c r="B7" s="44" t="str">
        <f>IF(A7=0,"Equity",IF(A7&lt;=Inputs!$B$21,"Construction",IF(A7&lt;=Inputs!$B$21+Inputs!$B$5,"Queue wait",IF(A7&lt;=Inputs!$B$21+Configurations!$B$15,"Grid ops"," "))))</f>
        <v>Construction</v>
      </c>
      <c r="C7" s="44" t="str">
        <f>IF(A7&lt;=Inputs!$B$21,"",A7-Inputs!$B$21-1)</f>
        <v/>
      </c>
      <c r="D7" s="56">
        <f>IF(OR(A7&lt;=Inputs!$B$21,A7&gt;Inputs!$B$21+Configurations!$B$15),0,Configurations!$B$4*Configurations!$B$5*8760*(1-Configurations!$B$6)^C7*Configurations!$B$7*(1-Configurations!$B$8))</f>
        <v>0</v>
      </c>
      <c r="E7" s="55">
        <f>IF(OR(A7&lt;=Inputs!$B$21,A7&gt;Inputs!$B$21+Configurations!$B$15),0,IF(A7&lt;=Inputs!$B$21+Inputs!$B$5,0,D7*Inputs!$B$18/1000000))</f>
        <v>0</v>
      </c>
      <c r="F7" s="55">
        <f>IF(OR(A7&lt;=Inputs!$B$21,A7&gt;Inputs!$B$21+Configurations!$B$15),0,IF(A7&lt;=Inputs!$B$21+Inputs!$B$5,Configurations!$B$13,Configurations!$B$12+Configurations!$B$13+Inputs!$B$20*E7))</f>
        <v>0</v>
      </c>
      <c r="G7" s="55">
        <f t="shared" si="0"/>
        <v>0</v>
      </c>
      <c r="H7" s="63">
        <f>IF(AND(A7&gt;Inputs!$B$21,A7&lt;=Inputs!$B$21+Inputs!$B$12),Capitalization!B$12,0)</f>
        <v>0</v>
      </c>
      <c r="I7" s="55">
        <f t="shared" si="1"/>
        <v>0</v>
      </c>
      <c r="J7" s="64" t="str">
        <f>IF(A7&lt;=Inputs!$B$21,"",IF(AND(A7&lt;=Inputs!$B$22,Capitalization!B$18&gt;0),Inputs!$B$25,Inputs!$B$26))</f>
        <v/>
      </c>
      <c r="K7" s="55">
        <f>IF(A7=0,-Capitalization!B$19,IF(A7&lt;=Inputs!$B$21,0,I7*J7-IF(AND(A7=Inputs!$B$22,Capitalization!B$18&gt;0),Inputs!$B$23,0)))</f>
        <v>0</v>
      </c>
      <c r="L7" s="65" t="str">
        <f t="shared" si="2"/>
        <v/>
      </c>
      <c r="M7" s="55">
        <f>IF(A7=0,-Capitalization!B$4,IF(A7&lt;=Inputs!$B$21,0,G7))</f>
        <v>0</v>
      </c>
    </row>
    <row r="8" spans="1:13" ht="15" customHeight="1" x14ac:dyDescent="0.2">
      <c r="A8" s="44">
        <v>3</v>
      </c>
      <c r="B8" s="44" t="str">
        <f>IF(A8=0,"Equity",IF(A8&lt;=Inputs!$B$21,"Construction",IF(A8&lt;=Inputs!$B$21+Inputs!$B$5,"Queue wait",IF(A8&lt;=Inputs!$B$21+Configurations!$B$15,"Grid ops"," "))))</f>
        <v>Queue wait</v>
      </c>
      <c r="C8" s="44">
        <f>IF(A8&lt;=Inputs!$B$21,"",A8-Inputs!$B$21-1)</f>
        <v>0</v>
      </c>
      <c r="D8" s="56">
        <f>IF(OR(A8&lt;=Inputs!$B$21,A8&gt;Inputs!$B$21+Configurations!$B$15),0,Configurations!$B$4*Configurations!$B$5*8760*(1-Configurations!$B$6)^C8*Configurations!$B$7*(1-Configurations!$B$8))</f>
        <v>230179.95</v>
      </c>
      <c r="E8" s="55">
        <f>IF(OR(A8&lt;=Inputs!$B$21,A8&gt;Inputs!$B$21+Configurations!$B$15),0,IF(A8&lt;=Inputs!$B$21+Inputs!$B$5,0,D8*Inputs!$B$18/1000000))</f>
        <v>0</v>
      </c>
      <c r="F8" s="55">
        <f>IF(OR(A8&lt;=Inputs!$B$21,A8&gt;Inputs!$B$21+Configurations!$B$15),0,IF(A8&lt;=Inputs!$B$21+Inputs!$B$5,Configurations!$B$13,Configurations!$B$12+Configurations!$B$13+Inputs!$B$20*E8))</f>
        <v>1.0880000000000001</v>
      </c>
      <c r="G8" s="55">
        <f t="shared" si="0"/>
        <v>-1.0880000000000001</v>
      </c>
      <c r="H8" s="63">
        <f>IF(AND(A8&gt;Inputs!$B$21,A8&lt;=Inputs!$B$21+Inputs!$B$12),Capitalization!B$12,0)</f>
        <v>9.0639718918518497</v>
      </c>
      <c r="I8" s="55">
        <f t="shared" si="1"/>
        <v>-10.151971891851851</v>
      </c>
      <c r="J8" s="64">
        <f ca="1">IF(A8&lt;=Inputs!$B$21,"",IF(AND(A8&lt;=Inputs!$B$22,Capitalization!B$18&gt;0),Inputs!$B$25,Inputs!$B$26))</f>
        <v>0.7</v>
      </c>
      <c r="K8" s="55">
        <f ca="1">IF(A8=0,-Capitalization!B$19,IF(A8&lt;=Inputs!$B$21,0,I8*J8-IF(AND(A8=Inputs!$B$22,Capitalization!B$18&gt;0),Inputs!$B$23,0)))</f>
        <v>-7.1063803242962953</v>
      </c>
      <c r="L8" s="65">
        <f t="shared" si="2"/>
        <v>-0.12003567674101778</v>
      </c>
      <c r="M8" s="55">
        <f>IF(A8=0,-Capitalization!B$4,IF(A8&lt;=Inputs!$B$21,0,G8))</f>
        <v>-1.0880000000000001</v>
      </c>
    </row>
    <row r="9" spans="1:13" ht="15" customHeight="1" x14ac:dyDescent="0.2">
      <c r="A9" s="44">
        <v>4</v>
      </c>
      <c r="B9" s="44" t="str">
        <f>IF(A9=0,"Equity",IF(A9&lt;=Inputs!$B$21,"Construction",IF(A9&lt;=Inputs!$B$21+Inputs!$B$5,"Queue wait",IF(A9&lt;=Inputs!$B$21+Configurations!$B$15,"Grid ops"," "))))</f>
        <v>Queue wait</v>
      </c>
      <c r="C9" s="44">
        <f>IF(A9&lt;=Inputs!$B$21,"",A9-Inputs!$B$21-1)</f>
        <v>1</v>
      </c>
      <c r="D9" s="56">
        <f>IF(OR(A9&lt;=Inputs!$B$21,A9&gt;Inputs!$B$21+Configurations!$B$15),0,Configurations!$B$4*Configurations!$B$5*8760*(1-Configurations!$B$6)^C9*Configurations!$B$7*(1-Configurations!$B$8))</f>
        <v>229029.05025000003</v>
      </c>
      <c r="E9" s="55">
        <f>IF(OR(A9&lt;=Inputs!$B$21,A9&gt;Inputs!$B$21+Configurations!$B$15),0,IF(A9&lt;=Inputs!$B$21+Inputs!$B$5,0,D9*Inputs!$B$18/1000000))</f>
        <v>0</v>
      </c>
      <c r="F9" s="55">
        <f>IF(OR(A9&lt;=Inputs!$B$21,A9&gt;Inputs!$B$21+Configurations!$B$15),0,IF(A9&lt;=Inputs!$B$21+Inputs!$B$5,Configurations!$B$13,Configurations!$B$12+Configurations!$B$13+Inputs!$B$20*E9))</f>
        <v>1.0880000000000001</v>
      </c>
      <c r="G9" s="55">
        <f t="shared" si="0"/>
        <v>-1.0880000000000001</v>
      </c>
      <c r="H9" s="63">
        <f>IF(AND(A9&gt;Inputs!$B$21,A9&lt;=Inputs!$B$21+Inputs!$B$12),Capitalization!B$12,0)</f>
        <v>9.0639718918518497</v>
      </c>
      <c r="I9" s="55">
        <f t="shared" si="1"/>
        <v>-10.151971891851851</v>
      </c>
      <c r="J9" s="64">
        <f ca="1">IF(A9&lt;=Inputs!$B$21,"",IF(AND(A9&lt;=Inputs!$B$22,Capitalization!B$18&gt;0),Inputs!$B$25,Inputs!$B$26))</f>
        <v>0.7</v>
      </c>
      <c r="K9" s="55">
        <f ca="1">IF(A9=0,-Capitalization!B$19,IF(A9&lt;=Inputs!$B$21,0,I9*J9-IF(AND(A9=Inputs!$B$22,Capitalization!B$18&gt;0),Inputs!$B$23,0)))</f>
        <v>-7.1063803242962953</v>
      </c>
      <c r="L9" s="65">
        <f t="shared" si="2"/>
        <v>-0.12003567674101778</v>
      </c>
      <c r="M9" s="55">
        <f>IF(A9=0,-Capitalization!B$4,IF(A9&lt;=Inputs!$B$21,0,G9))</f>
        <v>-1.0880000000000001</v>
      </c>
    </row>
    <row r="10" spans="1:13" ht="15" customHeight="1" x14ac:dyDescent="0.2">
      <c r="A10" s="44">
        <v>5</v>
      </c>
      <c r="B10" s="44" t="str">
        <f>IF(A10=0,"Equity",IF(A10&lt;=Inputs!$B$21,"Construction",IF(A10&lt;=Inputs!$B$21+Inputs!$B$5,"Queue wait",IF(A10&lt;=Inputs!$B$21+Configurations!$B$15,"Grid ops"," "))))</f>
        <v>Queue wait</v>
      </c>
      <c r="C10" s="44">
        <f>IF(A10&lt;=Inputs!$B$21,"",A10-Inputs!$B$21-1)</f>
        <v>2</v>
      </c>
      <c r="D10" s="56">
        <f>IF(OR(A10&lt;=Inputs!$B$21,A10&gt;Inputs!$B$21+Configurations!$B$15),0,Configurations!$B$4*Configurations!$B$5*8760*(1-Configurations!$B$6)^C10*Configurations!$B$7*(1-Configurations!$B$8))</f>
        <v>227883.90499875005</v>
      </c>
      <c r="E10" s="55">
        <f>IF(OR(A10&lt;=Inputs!$B$21,A10&gt;Inputs!$B$21+Configurations!$B$15),0,IF(A10&lt;=Inputs!$B$21+Inputs!$B$5,0,D10*Inputs!$B$18/1000000))</f>
        <v>0</v>
      </c>
      <c r="F10" s="55">
        <f>IF(OR(A10&lt;=Inputs!$B$21,A10&gt;Inputs!$B$21+Configurations!$B$15),0,IF(A10&lt;=Inputs!$B$21+Inputs!$B$5,Configurations!$B$13,Configurations!$B$12+Configurations!$B$13+Inputs!$B$20*E10))</f>
        <v>1.0880000000000001</v>
      </c>
      <c r="G10" s="55">
        <f t="shared" si="0"/>
        <v>-1.0880000000000001</v>
      </c>
      <c r="H10" s="63">
        <f>IF(AND(A10&gt;Inputs!$B$21,A10&lt;=Inputs!$B$21+Inputs!$B$12),Capitalization!B$12,0)</f>
        <v>9.0639718918518497</v>
      </c>
      <c r="I10" s="55">
        <f t="shared" si="1"/>
        <v>-10.151971891851851</v>
      </c>
      <c r="J10" s="64">
        <f ca="1">IF(A10&lt;=Inputs!$B$21,"",IF(AND(A10&lt;=Inputs!$B$22,Capitalization!B$18&gt;0),Inputs!$B$25,Inputs!$B$26))</f>
        <v>0.7</v>
      </c>
      <c r="K10" s="55">
        <f ca="1">IF(A10=0,-Capitalization!B$19,IF(A10&lt;=Inputs!$B$21,0,I10*J10-IF(AND(A10=Inputs!$B$22,Capitalization!B$18&gt;0),Inputs!$B$23,0)))</f>
        <v>-7.1063803242962953</v>
      </c>
      <c r="L10" s="65">
        <f t="shared" si="2"/>
        <v>-0.12003567674101778</v>
      </c>
      <c r="M10" s="55">
        <f>IF(A10=0,-Capitalization!B$4,IF(A10&lt;=Inputs!$B$21,0,G10))</f>
        <v>-1.0880000000000001</v>
      </c>
    </row>
    <row r="11" spans="1:13" ht="15" customHeight="1" x14ac:dyDescent="0.2">
      <c r="A11" s="44">
        <v>6</v>
      </c>
      <c r="B11" s="44" t="str">
        <f>IF(A11=0,"Equity",IF(A11&lt;=Inputs!$B$21,"Construction",IF(A11&lt;=Inputs!$B$21+Inputs!$B$5,"Queue wait",IF(A11&lt;=Inputs!$B$21+Configurations!$B$15,"Grid ops"," "))))</f>
        <v>Queue wait</v>
      </c>
      <c r="C11" s="44">
        <f>IF(A11&lt;=Inputs!$B$21,"",A11-Inputs!$B$21-1)</f>
        <v>3</v>
      </c>
      <c r="D11" s="56">
        <f>IF(OR(A11&lt;=Inputs!$B$21,A11&gt;Inputs!$B$21+Configurations!$B$15),0,Configurations!$B$4*Configurations!$B$5*8760*(1-Configurations!$B$6)^C11*Configurations!$B$7*(1-Configurations!$B$8))</f>
        <v>226744.48547375624</v>
      </c>
      <c r="E11" s="55">
        <f>IF(OR(A11&lt;=Inputs!$B$21,A11&gt;Inputs!$B$21+Configurations!$B$15),0,IF(A11&lt;=Inputs!$B$21+Inputs!$B$5,0,D11*Inputs!$B$18/1000000))</f>
        <v>0</v>
      </c>
      <c r="F11" s="55">
        <f>IF(OR(A11&lt;=Inputs!$B$21,A11&gt;Inputs!$B$21+Configurations!$B$15),0,IF(A11&lt;=Inputs!$B$21+Inputs!$B$5,Configurations!$B$13,Configurations!$B$12+Configurations!$B$13+Inputs!$B$20*E11))</f>
        <v>1.0880000000000001</v>
      </c>
      <c r="G11" s="55">
        <f t="shared" si="0"/>
        <v>-1.0880000000000001</v>
      </c>
      <c r="H11" s="63">
        <f>IF(AND(A11&gt;Inputs!$B$21,A11&lt;=Inputs!$B$21+Inputs!$B$12),Capitalization!B$12,0)</f>
        <v>9.0639718918518497</v>
      </c>
      <c r="I11" s="55">
        <f t="shared" si="1"/>
        <v>-10.151971891851851</v>
      </c>
      <c r="J11" s="64">
        <f ca="1">IF(A11&lt;=Inputs!$B$21,"",IF(AND(A11&lt;=Inputs!$B$22,Capitalization!B$18&gt;0),Inputs!$B$25,Inputs!$B$26))</f>
        <v>0.7</v>
      </c>
      <c r="K11" s="55">
        <f ca="1">IF(A11=0,-Capitalization!B$19,IF(A11&lt;=Inputs!$B$21,0,I11*J11-IF(AND(A11=Inputs!$B$22,Capitalization!B$18&gt;0),Inputs!$B$23,0)))</f>
        <v>-8.1063803242962962</v>
      </c>
      <c r="L11" s="65">
        <f t="shared" si="2"/>
        <v>-0.12003567674101778</v>
      </c>
      <c r="M11" s="55">
        <f>IF(A11=0,-Capitalization!B$4,IF(A11&lt;=Inputs!$B$21,0,G11))</f>
        <v>-1.0880000000000001</v>
      </c>
    </row>
    <row r="12" spans="1:13" ht="15" customHeight="1" x14ac:dyDescent="0.2">
      <c r="A12" s="44">
        <v>7</v>
      </c>
      <c r="B12" s="44" t="str">
        <f>IF(A12=0,"Equity",IF(A12&lt;=Inputs!$B$21,"Construction",IF(A12&lt;=Inputs!$B$21+Inputs!$B$5,"Queue wait",IF(A12&lt;=Inputs!$B$21+Configurations!$B$15,"Grid ops"," "))))</f>
        <v>Grid ops</v>
      </c>
      <c r="C12" s="44">
        <f>IF(A12&lt;=Inputs!$B$21,"",A12-Inputs!$B$21-1)</f>
        <v>4</v>
      </c>
      <c r="D12" s="56">
        <f>IF(OR(A12&lt;=Inputs!$B$21,A12&gt;Inputs!$B$21+Configurations!$B$15),0,Configurations!$B$4*Configurations!$B$5*8760*(1-Configurations!$B$6)^C12*Configurations!$B$7*(1-Configurations!$B$8))</f>
        <v>225610.76304638752</v>
      </c>
      <c r="E12" s="55">
        <f>IF(OR(A12&lt;=Inputs!$B$21,A12&gt;Inputs!$B$21+Configurations!$B$15),0,IF(A12&lt;=Inputs!$B$21+Inputs!$B$5,0,D12*Inputs!$B$18/1000000))</f>
        <v>16.243974939339903</v>
      </c>
      <c r="F12" s="55">
        <f>IF(OR(A12&lt;=Inputs!$B$21,A12&gt;Inputs!$B$21+Configurations!$B$15),0,IF(A12&lt;=Inputs!$B$21+Inputs!$B$5,Configurations!$B$13,Configurations!$B$12+Configurations!$B$13+Inputs!$B$20*E12))</f>
        <v>4.3316596240900989</v>
      </c>
      <c r="G12" s="55">
        <f t="shared" si="0"/>
        <v>11.912315315249804</v>
      </c>
      <c r="H12" s="63">
        <f>IF(AND(A12&gt;Inputs!$B$21,A12&lt;=Inputs!$B$21+Inputs!$B$12),Capitalization!B$12,0)</f>
        <v>9.0639718918518497</v>
      </c>
      <c r="I12" s="55">
        <f t="shared" si="1"/>
        <v>2.8483434233979548</v>
      </c>
      <c r="J12" s="64">
        <f ca="1">IF(A12&lt;=Inputs!$B$21,"",IF(AND(A12&lt;=Inputs!$B$22,Capitalization!B$18&gt;0),Inputs!$B$25,Inputs!$B$26))</f>
        <v>0.97499999999999998</v>
      </c>
      <c r="K12" s="55">
        <f ca="1">IF(A12=0,-Capitalization!B$19,IF(A12&lt;=Inputs!$B$21,0,I12*J12-IF(AND(A12=Inputs!$B$22,Capitalization!B$18&gt;0),Inputs!$B$23,0)))</f>
        <v>2.7771348378130059</v>
      </c>
      <c r="L12" s="65">
        <f t="shared" si="2"/>
        <v>1.3142489250169125</v>
      </c>
      <c r="M12" s="55">
        <f>IF(A12=0,-Capitalization!B$4,IF(A12&lt;=Inputs!$B$21,0,G12))</f>
        <v>11.912315315249804</v>
      </c>
    </row>
    <row r="13" spans="1:13" ht="15" customHeight="1" x14ac:dyDescent="0.2">
      <c r="A13" s="44">
        <v>8</v>
      </c>
      <c r="B13" s="44" t="str">
        <f>IF(A13=0,"Equity",IF(A13&lt;=Inputs!$B$21,"Construction",IF(A13&lt;=Inputs!$B$21+Inputs!$B$5,"Queue wait",IF(A13&lt;=Inputs!$B$21+Configurations!$B$15,"Grid ops"," "))))</f>
        <v>Grid ops</v>
      </c>
      <c r="C13" s="44">
        <f>IF(A13&lt;=Inputs!$B$21,"",A13-Inputs!$B$21-1)</f>
        <v>5</v>
      </c>
      <c r="D13" s="56">
        <f>IF(OR(A13&lt;=Inputs!$B$21,A13&gt;Inputs!$B$21+Configurations!$B$15),0,Configurations!$B$4*Configurations!$B$5*8760*(1-Configurations!$B$6)^C13*Configurations!$B$7*(1-Configurations!$B$8))</f>
        <v>224482.70923115558</v>
      </c>
      <c r="E13" s="55">
        <f>IF(OR(A13&lt;=Inputs!$B$21,A13&gt;Inputs!$B$21+Configurations!$B$15),0,IF(A13&lt;=Inputs!$B$21+Inputs!$B$5,0,D13*Inputs!$B$18/1000000))</f>
        <v>16.1627550646432</v>
      </c>
      <c r="F13" s="55">
        <f>IF(OR(A13&lt;=Inputs!$B$21,A13&gt;Inputs!$B$21+Configurations!$B$15),0,IF(A13&lt;=Inputs!$B$21+Inputs!$B$5,Configurations!$B$13,Configurations!$B$12+Configurations!$B$13+Inputs!$B$20*E13))</f>
        <v>4.3304413259696481</v>
      </c>
      <c r="G13" s="55">
        <f t="shared" si="0"/>
        <v>11.832313738673552</v>
      </c>
      <c r="H13" s="63">
        <f>IF(AND(A13&gt;Inputs!$B$21,A13&lt;=Inputs!$B$21+Inputs!$B$12),Capitalization!B$12,0)</f>
        <v>9.0639718918518497</v>
      </c>
      <c r="I13" s="55">
        <f t="shared" si="1"/>
        <v>2.768341846821702</v>
      </c>
      <c r="J13" s="64">
        <f ca="1">IF(A13&lt;=Inputs!$B$21,"",IF(AND(A13&lt;=Inputs!$B$22,Capitalization!B$18&gt;0),Inputs!$B$25,Inputs!$B$26))</f>
        <v>0.97499999999999998</v>
      </c>
      <c r="K13" s="55">
        <f ca="1">IF(A13=0,-Capitalization!B$19,IF(A13&lt;=Inputs!$B$21,0,I13*J13-IF(AND(A13=Inputs!$B$22,Capitalization!B$18&gt;0),Inputs!$B$23,0)))</f>
        <v>2.6991333006511593</v>
      </c>
      <c r="L13" s="65">
        <f t="shared" si="2"/>
        <v>1.3054225983765828</v>
      </c>
      <c r="M13" s="55">
        <f>IF(A13=0,-Capitalization!B$4,IF(A13&lt;=Inputs!$B$21,0,G13))</f>
        <v>11.832313738673552</v>
      </c>
    </row>
    <row r="14" spans="1:13" ht="15" customHeight="1" x14ac:dyDescent="0.2">
      <c r="A14" s="44">
        <v>9</v>
      </c>
      <c r="B14" s="44" t="str">
        <f>IF(A14=0,"Equity",IF(A14&lt;=Inputs!$B$21,"Construction",IF(A14&lt;=Inputs!$B$21+Inputs!$B$5,"Queue wait",IF(A14&lt;=Inputs!$B$21+Configurations!$B$15,"Grid ops"," "))))</f>
        <v>Grid ops</v>
      </c>
      <c r="C14" s="44">
        <f>IF(A14&lt;=Inputs!$B$21,"",A14-Inputs!$B$21-1)</f>
        <v>6</v>
      </c>
      <c r="D14" s="56">
        <f>IF(OR(A14&lt;=Inputs!$B$21,A14&gt;Inputs!$B$21+Configurations!$B$15),0,Configurations!$B$4*Configurations!$B$5*8760*(1-Configurations!$B$6)^C14*Configurations!$B$7*(1-Configurations!$B$8))</f>
        <v>223360.29568499979</v>
      </c>
      <c r="E14" s="55">
        <f>IF(OR(A14&lt;=Inputs!$B$21,A14&gt;Inputs!$B$21+Configurations!$B$15),0,IF(A14&lt;=Inputs!$B$21+Inputs!$B$5,0,D14*Inputs!$B$18/1000000))</f>
        <v>16.081941289319985</v>
      </c>
      <c r="F14" s="55">
        <f>IF(OR(A14&lt;=Inputs!$B$21,A14&gt;Inputs!$B$21+Configurations!$B$15),0,IF(A14&lt;=Inputs!$B$21+Inputs!$B$5,Configurations!$B$13,Configurations!$B$12+Configurations!$B$13+Inputs!$B$20*E14))</f>
        <v>4.3292291193398</v>
      </c>
      <c r="G14" s="55">
        <f t="shared" si="0"/>
        <v>11.752712169980185</v>
      </c>
      <c r="H14" s="63">
        <f>IF(AND(A14&gt;Inputs!$B$21,A14&lt;=Inputs!$B$21+Inputs!$B$12),Capitalization!B$12,0)</f>
        <v>9.0639718918518497</v>
      </c>
      <c r="I14" s="55">
        <f t="shared" si="1"/>
        <v>2.6887402781283356</v>
      </c>
      <c r="J14" s="64">
        <f ca="1">IF(A14&lt;=Inputs!$B$21,"",IF(AND(A14&lt;=Inputs!$B$22,Capitalization!B$18&gt;0),Inputs!$B$25,Inputs!$B$26))</f>
        <v>0.97499999999999998</v>
      </c>
      <c r="K14" s="55">
        <f ca="1">IF(A14=0,-Capitalization!B$19,IF(A14&lt;=Inputs!$B$21,0,I14*J14-IF(AND(A14=Inputs!$B$22,Capitalization!B$18&gt;0),Inputs!$B$23,0)))</f>
        <v>2.6215217711751273</v>
      </c>
      <c r="L14" s="65">
        <f t="shared" si="2"/>
        <v>1.2966404033694552</v>
      </c>
      <c r="M14" s="55">
        <f>IF(A14=0,-Capitalization!B$4,IF(A14&lt;=Inputs!$B$21,0,G14))</f>
        <v>11.752712169980185</v>
      </c>
    </row>
    <row r="15" spans="1:13" ht="15" customHeight="1" x14ac:dyDescent="0.2">
      <c r="A15" s="44">
        <v>10</v>
      </c>
      <c r="B15" s="44" t="str">
        <f>IF(A15=0,"Equity",IF(A15&lt;=Inputs!$B$21,"Construction",IF(A15&lt;=Inputs!$B$21+Inputs!$B$5,"Queue wait",IF(A15&lt;=Inputs!$B$21+Configurations!$B$15,"Grid ops"," "))))</f>
        <v>Grid ops</v>
      </c>
      <c r="C15" s="44">
        <f>IF(A15&lt;=Inputs!$B$21,"",A15-Inputs!$B$21-1)</f>
        <v>7</v>
      </c>
      <c r="D15" s="56">
        <f>IF(OR(A15&lt;=Inputs!$B$21,A15&gt;Inputs!$B$21+Configurations!$B$15),0,Configurations!$B$4*Configurations!$B$5*8760*(1-Configurations!$B$6)^C15*Configurations!$B$7*(1-Configurations!$B$8))</f>
        <v>222243.49420657477</v>
      </c>
      <c r="E15" s="55">
        <f>IF(OR(A15&lt;=Inputs!$B$21,A15&gt;Inputs!$B$21+Configurations!$B$15),0,IF(A15&lt;=Inputs!$B$21+Inputs!$B$5,0,D15*Inputs!$B$18/1000000))</f>
        <v>16.001531582873383</v>
      </c>
      <c r="F15" s="55">
        <f>IF(OR(A15&lt;=Inputs!$B$21,A15&gt;Inputs!$B$21+Configurations!$B$15),0,IF(A15&lt;=Inputs!$B$21+Inputs!$B$5,Configurations!$B$13,Configurations!$B$12+Configurations!$B$13+Inputs!$B$20*E15))</f>
        <v>4.3280229737431011</v>
      </c>
      <c r="G15" s="55">
        <f t="shared" si="0"/>
        <v>11.673508609130282</v>
      </c>
      <c r="H15" s="63">
        <f>IF(AND(A15&gt;Inputs!$B$21,A15&lt;=Inputs!$B$21+Inputs!$B$12),Capitalization!B$12,0)</f>
        <v>9.0639718918518497</v>
      </c>
      <c r="I15" s="55">
        <f t="shared" si="1"/>
        <v>2.6095367172784325</v>
      </c>
      <c r="J15" s="64">
        <f ca="1">IF(A15&lt;=Inputs!$B$21,"",IF(AND(A15&lt;=Inputs!$B$22,Capitalization!B$18&gt;0),Inputs!$B$25,Inputs!$B$26))</f>
        <v>0.97499999999999998</v>
      </c>
      <c r="K15" s="55">
        <f ca="1">IF(A15=0,-Capitalization!B$19,IF(A15&lt;=Inputs!$B$21,0,I15*J15-IF(AND(A15=Inputs!$B$22,Capitalization!B$18&gt;0),Inputs!$B$23,0)))</f>
        <v>2.5442982993464716</v>
      </c>
      <c r="L15" s="65">
        <f t="shared" si="2"/>
        <v>1.2879021193373628</v>
      </c>
      <c r="M15" s="55">
        <f>IF(A15=0,-Capitalization!B$4,IF(A15&lt;=Inputs!$B$21,0,G15))</f>
        <v>11.673508609130282</v>
      </c>
    </row>
    <row r="16" spans="1:13" ht="15" customHeight="1" x14ac:dyDescent="0.2">
      <c r="A16" s="44">
        <v>11</v>
      </c>
      <c r="B16" s="44" t="str">
        <f>IF(A16=0,"Equity",IF(A16&lt;=Inputs!$B$21,"Construction",IF(A16&lt;=Inputs!$B$21+Inputs!$B$5,"Queue wait",IF(A16&lt;=Inputs!$B$21+Configurations!$B$15,"Grid ops"," "))))</f>
        <v>Grid ops</v>
      </c>
      <c r="C16" s="44">
        <f>IF(A16&lt;=Inputs!$B$21,"",A16-Inputs!$B$21-1)</f>
        <v>8</v>
      </c>
      <c r="D16" s="56">
        <f>IF(OR(A16&lt;=Inputs!$B$21,A16&gt;Inputs!$B$21+Configurations!$B$15),0,Configurations!$B$4*Configurations!$B$5*8760*(1-Configurations!$B$6)^C16*Configurations!$B$7*(1-Configurations!$B$8))</f>
        <v>221132.27673554191</v>
      </c>
      <c r="E16" s="55">
        <f>IF(OR(A16&lt;=Inputs!$B$21,A16&gt;Inputs!$B$21+Configurations!$B$15),0,IF(A16&lt;=Inputs!$B$21+Inputs!$B$5,0,D16*Inputs!$B$18/1000000))</f>
        <v>15.921523924959017</v>
      </c>
      <c r="F16" s="55">
        <f>IF(OR(A16&lt;=Inputs!$B$21,A16&gt;Inputs!$B$21+Configurations!$B$15),0,IF(A16&lt;=Inputs!$B$21+Inputs!$B$5,Configurations!$B$13,Configurations!$B$12+Configurations!$B$13+Inputs!$B$20*E16))</f>
        <v>4.3268228588743849</v>
      </c>
      <c r="G16" s="55">
        <f t="shared" si="0"/>
        <v>11.594701066084632</v>
      </c>
      <c r="H16" s="63">
        <f>IF(AND(A16&gt;Inputs!$B$21,A16&lt;=Inputs!$B$21+Inputs!$B$12),Capitalization!B$12,0)</f>
        <v>9.0639718918518497</v>
      </c>
      <c r="I16" s="55">
        <f t="shared" si="1"/>
        <v>2.530729174232782</v>
      </c>
      <c r="J16" s="64">
        <f ca="1">IF(A16&lt;=Inputs!$B$21,"",IF(AND(A16&lt;=Inputs!$B$22,Capitalization!B$18&gt;0),Inputs!$B$25,Inputs!$B$26))</f>
        <v>0.97499999999999998</v>
      </c>
      <c r="K16" s="55">
        <f ca="1">IF(A16=0,-Capitalization!B$19,IF(A16&lt;=Inputs!$B$21,0,I16*J16-IF(AND(A16=Inputs!$B$22,Capitalization!B$18&gt;0),Inputs!$B$23,0)))</f>
        <v>2.4674609448769624</v>
      </c>
      <c r="L16" s="65">
        <f t="shared" si="2"/>
        <v>1.279207526725431</v>
      </c>
      <c r="M16" s="55">
        <f>IF(A16=0,-Capitalization!B$4,IF(A16&lt;=Inputs!$B$21,0,G16))</f>
        <v>11.594701066084632</v>
      </c>
    </row>
    <row r="17" spans="1:13" ht="15" customHeight="1" x14ac:dyDescent="0.2">
      <c r="A17" s="44">
        <v>12</v>
      </c>
      <c r="B17" s="44" t="str">
        <f>IF(A17=0,"Equity",IF(A17&lt;=Inputs!$B$21,"Construction",IF(A17&lt;=Inputs!$B$21+Inputs!$B$5,"Queue wait",IF(A17&lt;=Inputs!$B$21+Configurations!$B$15,"Grid ops"," "))))</f>
        <v>Grid ops</v>
      </c>
      <c r="C17" s="44">
        <f>IF(A17&lt;=Inputs!$B$21,"",A17-Inputs!$B$21-1)</f>
        <v>9</v>
      </c>
      <c r="D17" s="56">
        <f>IF(OR(A17&lt;=Inputs!$B$21,A17&gt;Inputs!$B$21+Configurations!$B$15),0,Configurations!$B$4*Configurations!$B$5*8760*(1-Configurations!$B$6)^C17*Configurations!$B$7*(1-Configurations!$B$8))</f>
        <v>220026.61535186417</v>
      </c>
      <c r="E17" s="55">
        <f>IF(OR(A17&lt;=Inputs!$B$21,A17&gt;Inputs!$B$21+Configurations!$B$15),0,IF(A17&lt;=Inputs!$B$21+Inputs!$B$5,0,D17*Inputs!$B$18/1000000))</f>
        <v>15.84191630533422</v>
      </c>
      <c r="F17" s="55">
        <f>IF(OR(A17&lt;=Inputs!$B$21,A17&gt;Inputs!$B$21+Configurations!$B$15),0,IF(A17&lt;=Inputs!$B$21+Inputs!$B$5,Configurations!$B$13,Configurations!$B$12+Configurations!$B$13+Inputs!$B$20*E17))</f>
        <v>4.3256287445800137</v>
      </c>
      <c r="G17" s="55">
        <f t="shared" si="0"/>
        <v>11.516287560754206</v>
      </c>
      <c r="H17" s="63">
        <f>IF(AND(A17&gt;Inputs!$B$21,A17&lt;=Inputs!$B$21+Inputs!$B$12),Capitalization!B$12,0)</f>
        <v>9.0639718918518497</v>
      </c>
      <c r="I17" s="55">
        <f t="shared" si="1"/>
        <v>2.4523156689023562</v>
      </c>
      <c r="J17" s="64">
        <f ca="1">IF(A17&lt;=Inputs!$B$21,"",IF(AND(A17&lt;=Inputs!$B$22,Capitalization!B$18&gt;0),Inputs!$B$25,Inputs!$B$26))</f>
        <v>0.97499999999999998</v>
      </c>
      <c r="K17" s="55">
        <f ca="1">IF(A17=0,-Capitalization!B$19,IF(A17&lt;=Inputs!$B$21,0,I17*J17-IF(AND(A17=Inputs!$B$22,Capitalization!B$18&gt;0),Inputs!$B$23,0)))</f>
        <v>2.3910077771797971</v>
      </c>
      <c r="L17" s="65">
        <f t="shared" si="2"/>
        <v>1.2705564070765589</v>
      </c>
      <c r="M17" s="55">
        <f>IF(A17=0,-Capitalization!B$4,IF(A17&lt;=Inputs!$B$21,0,G17))</f>
        <v>11.516287560754206</v>
      </c>
    </row>
    <row r="18" spans="1:13" ht="15" customHeight="1" x14ac:dyDescent="0.2">
      <c r="A18" s="44">
        <v>13</v>
      </c>
      <c r="B18" s="44" t="str">
        <f>IF(A18=0,"Equity",IF(A18&lt;=Inputs!$B$21,"Construction",IF(A18&lt;=Inputs!$B$21+Inputs!$B$5,"Queue wait",IF(A18&lt;=Inputs!$B$21+Configurations!$B$15,"Grid ops"," "))))</f>
        <v>Grid ops</v>
      </c>
      <c r="C18" s="44">
        <f>IF(A18&lt;=Inputs!$B$21,"",A18-Inputs!$B$21-1)</f>
        <v>10</v>
      </c>
      <c r="D18" s="56">
        <f>IF(OR(A18&lt;=Inputs!$B$21,A18&gt;Inputs!$B$21+Configurations!$B$15),0,Configurations!$B$4*Configurations!$B$5*8760*(1-Configurations!$B$6)^C18*Configurations!$B$7*(1-Configurations!$B$8))</f>
        <v>218926.48227510488</v>
      </c>
      <c r="E18" s="55">
        <f>IF(OR(A18&lt;=Inputs!$B$21,A18&gt;Inputs!$B$21+Configurations!$B$15),0,IF(A18&lt;=Inputs!$B$21+Inputs!$B$5,0,D18*Inputs!$B$18/1000000))</f>
        <v>15.76270672380755</v>
      </c>
      <c r="F18" s="55">
        <f>IF(OR(A18&lt;=Inputs!$B$21,A18&gt;Inputs!$B$21+Configurations!$B$15),0,IF(A18&lt;=Inputs!$B$21+Inputs!$B$5,Configurations!$B$13,Configurations!$B$12+Configurations!$B$13+Inputs!$B$20*E18))</f>
        <v>4.3244406008571135</v>
      </c>
      <c r="G18" s="55">
        <f t="shared" si="0"/>
        <v>11.438266122950438</v>
      </c>
      <c r="H18" s="63">
        <f>IF(AND(A18&gt;Inputs!$B$21,A18&lt;=Inputs!$B$21+Inputs!$B$12),Capitalization!B$12,0)</f>
        <v>9.0639718918518497</v>
      </c>
      <c r="I18" s="55">
        <f t="shared" si="1"/>
        <v>2.3742942310985882</v>
      </c>
      <c r="J18" s="64">
        <f ca="1">IF(A18&lt;=Inputs!$B$21,"",IF(AND(A18&lt;=Inputs!$B$22,Capitalization!B$18&gt;0),Inputs!$B$25,Inputs!$B$26))</f>
        <v>0.97499999999999998</v>
      </c>
      <c r="K18" s="55">
        <f ca="1">IF(A18=0,-Capitalization!B$19,IF(A18&lt;=Inputs!$B$21,0,I18*J18-IF(AND(A18=Inputs!$B$22,Capitalization!B$18&gt;0),Inputs!$B$23,0)))</f>
        <v>2.3149368753211235</v>
      </c>
      <c r="L18" s="65">
        <f t="shared" si="2"/>
        <v>1.2619485430259316</v>
      </c>
      <c r="M18" s="55">
        <f>IF(A18=0,-Capitalization!B$4,IF(A18&lt;=Inputs!$B$21,0,G18))</f>
        <v>11.438266122950438</v>
      </c>
    </row>
    <row r="19" spans="1:13" ht="15" customHeight="1" x14ac:dyDescent="0.2">
      <c r="A19" s="44">
        <v>14</v>
      </c>
      <c r="B19" s="44" t="str">
        <f>IF(A19=0,"Equity",IF(A19&lt;=Inputs!$B$21,"Construction",IF(A19&lt;=Inputs!$B$21+Inputs!$B$5,"Queue wait",IF(A19&lt;=Inputs!$B$21+Configurations!$B$15,"Grid ops"," "))))</f>
        <v>Grid ops</v>
      </c>
      <c r="C19" s="44">
        <f>IF(A19&lt;=Inputs!$B$21,"",A19-Inputs!$B$21-1)</f>
        <v>11</v>
      </c>
      <c r="D19" s="56">
        <f>IF(OR(A19&lt;=Inputs!$B$21,A19&gt;Inputs!$B$21+Configurations!$B$15),0,Configurations!$B$4*Configurations!$B$5*8760*(1-Configurations!$B$6)^C19*Configurations!$B$7*(1-Configurations!$B$8))</f>
        <v>217831.84986372935</v>
      </c>
      <c r="E19" s="55">
        <f>IF(OR(A19&lt;=Inputs!$B$21,A19&gt;Inputs!$B$21+Configurations!$B$15),0,IF(A19&lt;=Inputs!$B$21+Inputs!$B$5,0,D19*Inputs!$B$18/1000000))</f>
        <v>15.683893190188513</v>
      </c>
      <c r="F19" s="55">
        <f>IF(OR(A19&lt;=Inputs!$B$21,A19&gt;Inputs!$B$21+Configurations!$B$15),0,IF(A19&lt;=Inputs!$B$21+Inputs!$B$5,Configurations!$B$13,Configurations!$B$12+Configurations!$B$13+Inputs!$B$20*E19))</f>
        <v>4.3232583978528281</v>
      </c>
      <c r="G19" s="55">
        <f t="shared" si="0"/>
        <v>11.360634792335684</v>
      </c>
      <c r="H19" s="63">
        <f>IF(AND(A19&gt;Inputs!$B$21,A19&lt;=Inputs!$B$21+Inputs!$B$12),Capitalization!B$12,0)</f>
        <v>9.0639718918518497</v>
      </c>
      <c r="I19" s="55">
        <f t="shared" si="1"/>
        <v>2.2966629004838346</v>
      </c>
      <c r="J19" s="64">
        <f ca="1">IF(A19&lt;=Inputs!$B$21,"",IF(AND(A19&lt;=Inputs!$B$22,Capitalization!B$18&gt;0),Inputs!$B$25,Inputs!$B$26))</f>
        <v>0.97499999999999998</v>
      </c>
      <c r="K19" s="55">
        <f ca="1">IF(A19=0,-Capitalization!B$19,IF(A19&lt;=Inputs!$B$21,0,I19*J19-IF(AND(A19=Inputs!$B$22,Capitalization!B$18&gt;0),Inputs!$B$23,0)))</f>
        <v>2.2392463279717387</v>
      </c>
      <c r="L19" s="65">
        <f t="shared" si="2"/>
        <v>1.2533837182955569</v>
      </c>
      <c r="M19" s="55">
        <f>IF(A19=0,-Capitalization!B$4,IF(A19&lt;=Inputs!$B$21,0,G19))</f>
        <v>11.360634792335684</v>
      </c>
    </row>
    <row r="20" spans="1:13" ht="15" customHeight="1" x14ac:dyDescent="0.2">
      <c r="A20" s="44">
        <v>15</v>
      </c>
      <c r="B20" s="44" t="str">
        <f>IF(A20=0,"Equity",IF(A20&lt;=Inputs!$B$21,"Construction",IF(A20&lt;=Inputs!$B$21+Inputs!$B$5,"Queue wait",IF(A20&lt;=Inputs!$B$21+Configurations!$B$15,"Grid ops"," "))))</f>
        <v>Grid ops</v>
      </c>
      <c r="C20" s="44">
        <f>IF(A20&lt;=Inputs!$B$21,"",A20-Inputs!$B$21-1)</f>
        <v>12</v>
      </c>
      <c r="D20" s="56">
        <f>IF(OR(A20&lt;=Inputs!$B$21,A20&gt;Inputs!$B$21+Configurations!$B$15),0,Configurations!$B$4*Configurations!$B$5*8760*(1-Configurations!$B$6)^C20*Configurations!$B$7*(1-Configurations!$B$8))</f>
        <v>216742.69061441073</v>
      </c>
      <c r="E20" s="55">
        <f>IF(OR(A20&lt;=Inputs!$B$21,A20&gt;Inputs!$B$21+Configurations!$B$15),0,IF(A20&lt;=Inputs!$B$21+Inputs!$B$5,0,D20*Inputs!$B$18/1000000))</f>
        <v>15.605473724237573</v>
      </c>
      <c r="F20" s="55">
        <f>IF(OR(A20&lt;=Inputs!$B$21,A20&gt;Inputs!$B$21+Configurations!$B$15),0,IF(A20&lt;=Inputs!$B$21+Inputs!$B$5,Configurations!$B$13,Configurations!$B$12+Configurations!$B$13+Inputs!$B$20*E20))</f>
        <v>4.3220821058635632</v>
      </c>
      <c r="G20" s="55">
        <f t="shared" si="0"/>
        <v>11.28339161837401</v>
      </c>
      <c r="H20" s="63">
        <f>IF(AND(A20&gt;Inputs!$B$21,A20&lt;=Inputs!$B$21+Inputs!$B$12),Capitalization!B$12,0)</f>
        <v>9.0639718918518497</v>
      </c>
      <c r="I20" s="55">
        <f t="shared" si="1"/>
        <v>2.21941972652216</v>
      </c>
      <c r="J20" s="64">
        <f ca="1">IF(A20&lt;=Inputs!$B$21,"",IF(AND(A20&lt;=Inputs!$B$22,Capitalization!B$18&gt;0),Inputs!$B$25,Inputs!$B$26))</f>
        <v>0.97499999999999998</v>
      </c>
      <c r="K20" s="55">
        <f ca="1">IF(A20=0,-Capitalization!B$19,IF(A20&lt;=Inputs!$B$21,0,I20*J20-IF(AND(A20=Inputs!$B$22,Capitalization!B$18&gt;0),Inputs!$B$23,0)))</f>
        <v>2.1639342333591061</v>
      </c>
      <c r="L20" s="65">
        <f t="shared" si="2"/>
        <v>1.2448617176888346</v>
      </c>
      <c r="M20" s="55">
        <f>IF(A20=0,-Capitalization!B$4,IF(A20&lt;=Inputs!$B$21,0,G20))</f>
        <v>11.28339161837401</v>
      </c>
    </row>
    <row r="21" spans="1:13" ht="15" customHeight="1" x14ac:dyDescent="0.2">
      <c r="A21" s="44">
        <v>16</v>
      </c>
      <c r="B21" s="44" t="str">
        <f>IF(A21=0,"Equity",IF(A21&lt;=Inputs!$B$21,"Construction",IF(A21&lt;=Inputs!$B$21+Inputs!$B$5,"Queue wait",IF(A21&lt;=Inputs!$B$21+Configurations!$B$15,"Grid ops"," "))))</f>
        <v>Grid ops</v>
      </c>
      <c r="C21" s="44">
        <f>IF(A21&lt;=Inputs!$B$21,"",A21-Inputs!$B$21-1)</f>
        <v>13</v>
      </c>
      <c r="D21" s="56">
        <f>IF(OR(A21&lt;=Inputs!$B$21,A21&gt;Inputs!$B$21+Configurations!$B$15),0,Configurations!$B$4*Configurations!$B$5*8760*(1-Configurations!$B$6)^C21*Configurations!$B$7*(1-Configurations!$B$8))</f>
        <v>215658.97716133867</v>
      </c>
      <c r="E21" s="55">
        <f>IF(OR(A21&lt;=Inputs!$B$21,A21&gt;Inputs!$B$21+Configurations!$B$15),0,IF(A21&lt;=Inputs!$B$21+Inputs!$B$5,0,D21*Inputs!$B$18/1000000))</f>
        <v>15.527446355616384</v>
      </c>
      <c r="F21" s="55">
        <f>IF(OR(A21&lt;=Inputs!$B$21,A21&gt;Inputs!$B$21+Configurations!$B$15),0,IF(A21&lt;=Inputs!$B$21+Inputs!$B$5,Configurations!$B$13,Configurations!$B$12+Configurations!$B$13+Inputs!$B$20*E21))</f>
        <v>4.3209116953342459</v>
      </c>
      <c r="G21" s="55">
        <f t="shared" si="0"/>
        <v>11.206534660282138</v>
      </c>
      <c r="H21" s="63">
        <f>IF(AND(A21&gt;Inputs!$B$21,A21&lt;=Inputs!$B$21+Inputs!$B$12),Capitalization!B$12,0)</f>
        <v>9.0639718918518497</v>
      </c>
      <c r="I21" s="55">
        <f t="shared" si="1"/>
        <v>2.1425627684302881</v>
      </c>
      <c r="J21" s="64">
        <f ca="1">IF(A21&lt;=Inputs!$B$21,"",IF(AND(A21&lt;=Inputs!$B$22,Capitalization!B$18&gt;0),Inputs!$B$25,Inputs!$B$26))</f>
        <v>0.97499999999999998</v>
      </c>
      <c r="K21" s="55">
        <f ca="1">IF(A21=0,-Capitalization!B$19,IF(A21&lt;=Inputs!$B$21,0,I21*J21-IF(AND(A21=Inputs!$B$22,Capitalization!B$18&gt;0),Inputs!$B$23,0)))</f>
        <v>2.0889986992195309</v>
      </c>
      <c r="L21" s="65">
        <f t="shared" si="2"/>
        <v>1.2363823270851455</v>
      </c>
      <c r="M21" s="55">
        <f>IF(A21=0,-Capitalization!B$4,IF(A21&lt;=Inputs!$B$21,0,G21))</f>
        <v>11.206534660282138</v>
      </c>
    </row>
    <row r="22" spans="1:13" ht="15" customHeight="1" x14ac:dyDescent="0.2">
      <c r="A22" s="44">
        <v>17</v>
      </c>
      <c r="B22" s="44" t="str">
        <f>IF(A22=0,"Equity",IF(A22&lt;=Inputs!$B$21,"Construction",IF(A22&lt;=Inputs!$B$21+Inputs!$B$5,"Queue wait",IF(A22&lt;=Inputs!$B$21+Configurations!$B$15,"Grid ops"," "))))</f>
        <v>Grid ops</v>
      </c>
      <c r="C22" s="44">
        <f>IF(A22&lt;=Inputs!$B$21,"",A22-Inputs!$B$21-1)</f>
        <v>14</v>
      </c>
      <c r="D22" s="56">
        <f>IF(OR(A22&lt;=Inputs!$B$21,A22&gt;Inputs!$B$21+Configurations!$B$15),0,Configurations!$B$4*Configurations!$B$5*8760*(1-Configurations!$B$6)^C22*Configurations!$B$7*(1-Configurations!$B$8))</f>
        <v>214580.68227553199</v>
      </c>
      <c r="E22" s="55">
        <f>IF(OR(A22&lt;=Inputs!$B$21,A22&gt;Inputs!$B$21+Configurations!$B$15),0,IF(A22&lt;=Inputs!$B$21+Inputs!$B$5,0,D22*Inputs!$B$18/1000000))</f>
        <v>15.449809123838303</v>
      </c>
      <c r="F22" s="55">
        <f>IF(OR(A22&lt;=Inputs!$B$21,A22&gt;Inputs!$B$21+Configurations!$B$15),0,IF(A22&lt;=Inputs!$B$21+Inputs!$B$5,Configurations!$B$13,Configurations!$B$12+Configurations!$B$13+Inputs!$B$20*E22))</f>
        <v>4.3197471368575746</v>
      </c>
      <c r="G22" s="55">
        <f t="shared" si="0"/>
        <v>11.130061986980728</v>
      </c>
      <c r="H22" s="63">
        <f>IF(AND(A22&gt;Inputs!$B$21,A22&lt;=Inputs!$B$21+Inputs!$B$12),Capitalization!B$12,0)</f>
        <v>9.0639718918518497</v>
      </c>
      <c r="I22" s="55">
        <f t="shared" si="1"/>
        <v>2.0660900951288781</v>
      </c>
      <c r="J22" s="64">
        <f ca="1">IF(A22&lt;=Inputs!$B$21,"",IF(AND(A22&lt;=Inputs!$B$22,Capitalization!B$18&gt;0),Inputs!$B$25,Inputs!$B$26))</f>
        <v>0.97499999999999998</v>
      </c>
      <c r="K22" s="55">
        <f ca="1">IF(A22=0,-Capitalization!B$19,IF(A22&lt;=Inputs!$B$21,0,I22*J22-IF(AND(A22=Inputs!$B$22,Capitalization!B$18&gt;0),Inputs!$B$23,0)))</f>
        <v>2.014437842750656</v>
      </c>
      <c r="L22" s="65">
        <f t="shared" si="2"/>
        <v>1.227945333434475</v>
      </c>
      <c r="M22" s="55">
        <f>IF(A22=0,-Capitalization!B$4,IF(A22&lt;=Inputs!$B$21,0,G22))</f>
        <v>11.130061986980728</v>
      </c>
    </row>
    <row r="23" spans="1:13" ht="15" customHeight="1" x14ac:dyDescent="0.2">
      <c r="A23" s="44">
        <v>18</v>
      </c>
      <c r="B23" s="44" t="str">
        <f>IF(A23=0,"Equity",IF(A23&lt;=Inputs!$B$21,"Construction",IF(A23&lt;=Inputs!$B$21+Inputs!$B$5,"Queue wait",IF(A23&lt;=Inputs!$B$21+Configurations!$B$15,"Grid ops"," "))))</f>
        <v>Grid ops</v>
      </c>
      <c r="C23" s="44">
        <f>IF(A23&lt;=Inputs!$B$21,"",A23-Inputs!$B$21-1)</f>
        <v>15</v>
      </c>
      <c r="D23" s="56">
        <f>IF(OR(A23&lt;=Inputs!$B$21,A23&gt;Inputs!$B$21+Configurations!$B$15),0,Configurations!$B$4*Configurations!$B$5*8760*(1-Configurations!$B$6)^C23*Configurations!$B$7*(1-Configurations!$B$8))</f>
        <v>213507.7788641543</v>
      </c>
      <c r="E23" s="55">
        <f>IF(OR(A23&lt;=Inputs!$B$21,A23&gt;Inputs!$B$21+Configurations!$B$15),0,IF(A23&lt;=Inputs!$B$21+Inputs!$B$5,0,D23*Inputs!$B$18/1000000))</f>
        <v>15.372560078219109</v>
      </c>
      <c r="F23" s="55">
        <f>IF(OR(A23&lt;=Inputs!$B$21,A23&gt;Inputs!$B$21+Configurations!$B$15),0,IF(A23&lt;=Inputs!$B$21+Inputs!$B$5,Configurations!$B$13,Configurations!$B$12+Configurations!$B$13+Inputs!$B$20*E23))</f>
        <v>4.3185884011732867</v>
      </c>
      <c r="G23" s="55">
        <f t="shared" si="0"/>
        <v>11.053971677045823</v>
      </c>
      <c r="H23" s="63">
        <f>IF(AND(A23&gt;Inputs!$B$21,A23&lt;=Inputs!$B$21+Inputs!$B$12),Capitalization!B$12,0)</f>
        <v>9.0639718918518497</v>
      </c>
      <c r="I23" s="55">
        <f t="shared" si="1"/>
        <v>1.989999785193973</v>
      </c>
      <c r="J23" s="64">
        <f ca="1">IF(A23&lt;=Inputs!$B$21,"",IF(AND(A23&lt;=Inputs!$B$22,Capitalization!B$18&gt;0),Inputs!$B$25,Inputs!$B$26))</f>
        <v>0.97499999999999998</v>
      </c>
      <c r="K23" s="55">
        <f ca="1">IF(A23=0,-Capitalization!B$19,IF(A23&lt;=Inputs!$B$21,0,I23*J23-IF(AND(A23=Inputs!$B$22,Capitalization!B$18&gt;0),Inputs!$B$23,0)))</f>
        <v>1.9402497905641236</v>
      </c>
      <c r="L23" s="65">
        <f t="shared" si="2"/>
        <v>1.2195505247520575</v>
      </c>
      <c r="M23" s="55">
        <f>IF(A23=0,-Capitalization!B$4,IF(A23&lt;=Inputs!$B$21,0,G23))</f>
        <v>11.053971677045823</v>
      </c>
    </row>
    <row r="24" spans="1:13" ht="15" customHeight="1" x14ac:dyDescent="0.2">
      <c r="A24" s="44">
        <v>19</v>
      </c>
      <c r="B24" s="44" t="str">
        <f>IF(A24=0,"Equity",IF(A24&lt;=Inputs!$B$21,"Construction",IF(A24&lt;=Inputs!$B$21+Inputs!$B$5,"Queue wait",IF(A24&lt;=Inputs!$B$21+Configurations!$B$15,"Grid ops"," "))))</f>
        <v>Grid ops</v>
      </c>
      <c r="C24" s="44">
        <f>IF(A24&lt;=Inputs!$B$21,"",A24-Inputs!$B$21-1)</f>
        <v>16</v>
      </c>
      <c r="D24" s="56">
        <f>IF(OR(A24&lt;=Inputs!$B$21,A24&gt;Inputs!$B$21+Configurations!$B$15),0,Configurations!$B$4*Configurations!$B$5*8760*(1-Configurations!$B$6)^C24*Configurations!$B$7*(1-Configurations!$B$8))</f>
        <v>212440.23996983355</v>
      </c>
      <c r="E24" s="55">
        <f>IF(OR(A24&lt;=Inputs!$B$21,A24&gt;Inputs!$B$21+Configurations!$B$15),0,IF(A24&lt;=Inputs!$B$21+Inputs!$B$5,0,D24*Inputs!$B$18/1000000))</f>
        <v>15.295697277828015</v>
      </c>
      <c r="F24" s="55">
        <f>IF(OR(A24&lt;=Inputs!$B$21,A24&gt;Inputs!$B$21+Configurations!$B$15),0,IF(A24&lt;=Inputs!$B$21+Inputs!$B$5,Configurations!$B$13,Configurations!$B$12+Configurations!$B$13+Inputs!$B$20*E24))</f>
        <v>4.3174354591674202</v>
      </c>
      <c r="G24" s="55">
        <f t="shared" si="0"/>
        <v>10.978261818660595</v>
      </c>
      <c r="H24" s="63">
        <f>IF(AND(A24&gt;Inputs!$B$21,A24&lt;=Inputs!$B$21+Inputs!$B$12),Capitalization!B$12,0)</f>
        <v>9.0639718918518497</v>
      </c>
      <c r="I24" s="55">
        <f t="shared" si="1"/>
        <v>1.9142899268087454</v>
      </c>
      <c r="J24" s="64">
        <f ca="1">IF(A24&lt;=Inputs!$B$21,"",IF(AND(A24&lt;=Inputs!$B$22,Capitalization!B$18&gt;0),Inputs!$B$25,Inputs!$B$26))</f>
        <v>0.97499999999999998</v>
      </c>
      <c r="K24" s="55">
        <f ca="1">IF(A24=0,-Capitalization!B$19,IF(A24&lt;=Inputs!$B$21,0,I24*J24-IF(AND(A24=Inputs!$B$22,Capitalization!B$18&gt;0),Inputs!$B$23,0)))</f>
        <v>1.8664326786385268</v>
      </c>
      <c r="L24" s="65">
        <f t="shared" si="2"/>
        <v>1.2111976901130526</v>
      </c>
      <c r="M24" s="55">
        <f>IF(A24=0,-Capitalization!B$4,IF(A24&lt;=Inputs!$B$21,0,G24))</f>
        <v>10.978261818660595</v>
      </c>
    </row>
    <row r="25" spans="1:13" ht="15" customHeight="1" x14ac:dyDescent="0.2">
      <c r="A25" s="44">
        <v>20</v>
      </c>
      <c r="B25" s="44" t="str">
        <f>IF(A25=0,"Equity",IF(A25&lt;=Inputs!$B$21,"Construction",IF(A25&lt;=Inputs!$B$21+Inputs!$B$5,"Queue wait",IF(A25&lt;=Inputs!$B$21+Configurations!$B$15,"Grid ops"," "))))</f>
        <v>Grid ops</v>
      </c>
      <c r="C25" s="44">
        <f>IF(A25&lt;=Inputs!$B$21,"",A25-Inputs!$B$21-1)</f>
        <v>17</v>
      </c>
      <c r="D25" s="56">
        <f>IF(OR(A25&lt;=Inputs!$B$21,A25&gt;Inputs!$B$21+Configurations!$B$15),0,Configurations!$B$4*Configurations!$B$5*8760*(1-Configurations!$B$6)^C25*Configurations!$B$7*(1-Configurations!$B$8))</f>
        <v>211378.03876998438</v>
      </c>
      <c r="E25" s="55">
        <f>IF(OR(A25&lt;=Inputs!$B$21,A25&gt;Inputs!$B$21+Configurations!$B$15),0,IF(A25&lt;=Inputs!$B$21+Inputs!$B$5,0,D25*Inputs!$B$18/1000000))</f>
        <v>15.219218791438875</v>
      </c>
      <c r="F25" s="55">
        <f>IF(OR(A25&lt;=Inputs!$B$21,A25&gt;Inputs!$B$21+Configurations!$B$15),0,IF(A25&lt;=Inputs!$B$21+Inputs!$B$5,Configurations!$B$13,Configurations!$B$12+Configurations!$B$13+Inputs!$B$20*E25))</f>
        <v>4.3162882818715831</v>
      </c>
      <c r="G25" s="55">
        <f t="shared" si="0"/>
        <v>10.902930509567291</v>
      </c>
      <c r="H25" s="63">
        <f>IF(AND(A25&gt;Inputs!$B$21,A25&lt;=Inputs!$B$21+Inputs!$B$12),Capitalization!B$12,0)</f>
        <v>9.0639718918518497</v>
      </c>
      <c r="I25" s="55">
        <f t="shared" si="1"/>
        <v>1.8389586177154413</v>
      </c>
      <c r="J25" s="64">
        <f ca="1">IF(A25&lt;=Inputs!$B$21,"",IF(AND(A25&lt;=Inputs!$B$22,Capitalization!B$18&gt;0),Inputs!$B$25,Inputs!$B$26))</f>
        <v>0.97499999999999998</v>
      </c>
      <c r="K25" s="55">
        <f ca="1">IF(A25=0,-Capitalization!B$19,IF(A25&lt;=Inputs!$B$21,0,I25*J25-IF(AND(A25=Inputs!$B$22,Capitalization!B$18&gt;0),Inputs!$B$23,0)))</f>
        <v>1.7929846522725552</v>
      </c>
      <c r="L25" s="65">
        <f t="shared" si="2"/>
        <v>1.2028866196472423</v>
      </c>
      <c r="M25" s="55">
        <f>IF(A25=0,-Capitalization!B$4,IF(A25&lt;=Inputs!$B$21,0,G25))</f>
        <v>10.902930509567291</v>
      </c>
    </row>
    <row r="26" spans="1:13" ht="15" customHeight="1" x14ac:dyDescent="0.2">
      <c r="A26" s="44">
        <v>21</v>
      </c>
      <c r="B26" s="44" t="str">
        <f>IF(A26=0,"Equity",IF(A26&lt;=Inputs!$B$21,"Construction",IF(A26&lt;=Inputs!$B$21+Inputs!$B$5,"Queue wait",IF(A26&lt;=Inputs!$B$21+Configurations!$B$15,"Grid ops"," "))))</f>
        <v>Grid ops</v>
      </c>
      <c r="C26" s="44">
        <f>IF(A26&lt;=Inputs!$B$21,"",A26-Inputs!$B$21-1)</f>
        <v>18</v>
      </c>
      <c r="D26" s="56">
        <f>IF(OR(A26&lt;=Inputs!$B$21,A26&gt;Inputs!$B$21+Configurations!$B$15),0,Configurations!$B$4*Configurations!$B$5*8760*(1-Configurations!$B$6)^C26*Configurations!$B$7*(1-Configurations!$B$8))</f>
        <v>210321.14857613447</v>
      </c>
      <c r="E26" s="55">
        <f>IF(OR(A26&lt;=Inputs!$B$21,A26&gt;Inputs!$B$21+Configurations!$B$15),0,IF(A26&lt;=Inputs!$B$21+Inputs!$B$5,0,D26*Inputs!$B$18/1000000))</f>
        <v>15.143122697481681</v>
      </c>
      <c r="F26" s="55">
        <f>IF(OR(A26&lt;=Inputs!$B$21,A26&gt;Inputs!$B$21+Configurations!$B$15),0,IF(A26&lt;=Inputs!$B$21+Inputs!$B$5,Configurations!$B$13,Configurations!$B$12+Configurations!$B$13+Inputs!$B$20*E26))</f>
        <v>4.3151468404622255</v>
      </c>
      <c r="G26" s="55">
        <f t="shared" si="0"/>
        <v>10.827975857019457</v>
      </c>
      <c r="H26" s="63">
        <f>IF(AND(A26&gt;Inputs!$B$21,A26&lt;=Inputs!$B$21+Inputs!$B$12),Capitalization!B$12,0)</f>
        <v>9.0639718918518497</v>
      </c>
      <c r="I26" s="55">
        <f t="shared" si="1"/>
        <v>1.7640039651676069</v>
      </c>
      <c r="J26" s="64">
        <f ca="1">IF(A26&lt;=Inputs!$B$21,"",IF(AND(A26&lt;=Inputs!$B$22,Capitalization!B$18&gt;0),Inputs!$B$25,Inputs!$B$26))</f>
        <v>0.97499999999999998</v>
      </c>
      <c r="K26" s="55">
        <f ca="1">IF(A26=0,-Capitalization!B$19,IF(A26&lt;=Inputs!$B$21,0,I26*J26-IF(AND(A26=Inputs!$B$22,Capitalization!B$18&gt;0),Inputs!$B$23,0)))</f>
        <v>1.7199038660384167</v>
      </c>
      <c r="L26" s="65">
        <f t="shared" si="2"/>
        <v>1.1946171045337615</v>
      </c>
      <c r="M26" s="55">
        <f>IF(A26=0,-Capitalization!B$4,IF(A26&lt;=Inputs!$B$21,0,G26))</f>
        <v>10.827975857019457</v>
      </c>
    </row>
    <row r="27" spans="1:13" ht="15" customHeight="1" x14ac:dyDescent="0.2">
      <c r="A27" s="44">
        <v>22</v>
      </c>
      <c r="B27" s="44" t="str">
        <f>IF(A27=0,"Equity",IF(A27&lt;=Inputs!$B$21,"Construction",IF(A27&lt;=Inputs!$B$21+Inputs!$B$5,"Queue wait",IF(A27&lt;=Inputs!$B$21+Configurations!$B$15,"Grid ops"," "))))</f>
        <v>Grid ops</v>
      </c>
      <c r="C27" s="44">
        <f>IF(A27&lt;=Inputs!$B$21,"",A27-Inputs!$B$21-1)</f>
        <v>19</v>
      </c>
      <c r="D27" s="56">
        <f>IF(OR(A27&lt;=Inputs!$B$21,A27&gt;Inputs!$B$21+Configurations!$B$15),0,Configurations!$B$4*Configurations!$B$5*8760*(1-Configurations!$B$6)^C27*Configurations!$B$7*(1-Configurations!$B$8))</f>
        <v>209269.54283325377</v>
      </c>
      <c r="E27" s="55">
        <f>IF(OR(A27&lt;=Inputs!$B$21,A27&gt;Inputs!$B$21+Configurations!$B$15),0,IF(A27&lt;=Inputs!$B$21+Inputs!$B$5,0,D27*Inputs!$B$18/1000000))</f>
        <v>15.06740708399427</v>
      </c>
      <c r="F27" s="55">
        <f>IF(OR(A27&lt;=Inputs!$B$21,A27&gt;Inputs!$B$21+Configurations!$B$15),0,IF(A27&lt;=Inputs!$B$21+Inputs!$B$5,Configurations!$B$13,Configurations!$B$12+Configurations!$B$13+Inputs!$B$20*E27))</f>
        <v>4.3140111062599145</v>
      </c>
      <c r="G27" s="55">
        <f t="shared" si="0"/>
        <v>10.753395977734357</v>
      </c>
      <c r="H27" s="63">
        <f>IF(AND(A27&gt;Inputs!$B$21,A27&lt;=Inputs!$B$21+Inputs!$B$12),Capitalization!B$12,0)</f>
        <v>9.0639718918518497</v>
      </c>
      <c r="I27" s="55">
        <f t="shared" si="1"/>
        <v>1.6894240858825071</v>
      </c>
      <c r="J27" s="64">
        <f ca="1">IF(A27&lt;=Inputs!$B$21,"",IF(AND(A27&lt;=Inputs!$B$22,Capitalization!B$18&gt;0),Inputs!$B$25,Inputs!$B$26))</f>
        <v>0.97499999999999998</v>
      </c>
      <c r="K27" s="55">
        <f ca="1">IF(A27=0,-Capitalization!B$19,IF(A27&lt;=Inputs!$B$21,0,I27*J27-IF(AND(A27=Inputs!$B$22,Capitalization!B$18&gt;0),Inputs!$B$23,0)))</f>
        <v>1.6471884837354445</v>
      </c>
      <c r="L27" s="65">
        <f t="shared" si="2"/>
        <v>1.1863889369958476</v>
      </c>
      <c r="M27" s="55">
        <f>IF(A27=0,-Capitalization!B$4,IF(A27&lt;=Inputs!$B$21,0,G27))</f>
        <v>10.753395977734357</v>
      </c>
    </row>
    <row r="28" spans="1:13" ht="15" customHeight="1" x14ac:dyDescent="0.2">
      <c r="A28" s="44">
        <v>23</v>
      </c>
      <c r="B28" s="44" t="str">
        <f>IF(A28=0,"Equity",IF(A28&lt;=Inputs!$B$21,"Construction",IF(A28&lt;=Inputs!$B$21+Inputs!$B$5,"Queue wait",IF(A28&lt;=Inputs!$B$21+Configurations!$B$15,"Grid ops"," "))))</f>
        <v>Grid ops</v>
      </c>
      <c r="C28" s="44">
        <f>IF(A28&lt;=Inputs!$B$21,"",A28-Inputs!$B$21-1)</f>
        <v>20</v>
      </c>
      <c r="D28" s="56">
        <f>IF(OR(A28&lt;=Inputs!$B$21,A28&gt;Inputs!$B$21+Configurations!$B$15),0,Configurations!$B$4*Configurations!$B$5*8760*(1-Configurations!$B$6)^C28*Configurations!$B$7*(1-Configurations!$B$8))</f>
        <v>208223.19511908753</v>
      </c>
      <c r="E28" s="55">
        <f>IF(OR(A28&lt;=Inputs!$B$21,A28&gt;Inputs!$B$21+Configurations!$B$15),0,IF(A28&lt;=Inputs!$B$21+Inputs!$B$5,0,D28*Inputs!$B$18/1000000))</f>
        <v>14.992070048574302</v>
      </c>
      <c r="F28" s="55">
        <f>IF(OR(A28&lt;=Inputs!$B$21,A28&gt;Inputs!$B$21+Configurations!$B$15),0,IF(A28&lt;=Inputs!$B$21+Inputs!$B$5,Configurations!$B$13,Configurations!$B$12+Configurations!$B$13+Inputs!$B$20*E28))</f>
        <v>4.3128810507286151</v>
      </c>
      <c r="G28" s="55">
        <f t="shared" si="0"/>
        <v>10.679188997845687</v>
      </c>
      <c r="H28" s="63">
        <f>IF(AND(A28&gt;Inputs!$B$21,A28&lt;=Inputs!$B$21+Inputs!$B$12),Capitalization!B$12,0)</f>
        <v>0</v>
      </c>
      <c r="I28" s="55">
        <f t="shared" si="1"/>
        <v>10.679188997845687</v>
      </c>
      <c r="J28" s="64">
        <f ca="1">IF(A28&lt;=Inputs!$B$21,"",IF(AND(A28&lt;=Inputs!$B$22,Capitalization!B$18&gt;0),Inputs!$B$25,Inputs!$B$26))</f>
        <v>0.97499999999999998</v>
      </c>
      <c r="K28" s="55">
        <f ca="1">IF(A28=0,-Capitalization!B$19,IF(A28&lt;=Inputs!$B$21,0,I28*J28-IF(AND(A28=Inputs!$B$22,Capitalization!B$18&gt;0),Inputs!$B$23,0)))</f>
        <v>10.412209272899544</v>
      </c>
      <c r="L28" s="65" t="str">
        <f t="shared" si="2"/>
        <v/>
      </c>
      <c r="M28" s="55">
        <f>IF(A28=0,-Capitalization!B$4,IF(A28&lt;=Inputs!$B$21,0,G28))</f>
        <v>10.679188997845687</v>
      </c>
    </row>
    <row r="29" spans="1:13" ht="15" customHeight="1" x14ac:dyDescent="0.2">
      <c r="A29" s="44">
        <v>24</v>
      </c>
      <c r="B29" s="44" t="str">
        <f>IF(A29=0,"Equity",IF(A29&lt;=Inputs!$B$21,"Construction",IF(A29&lt;=Inputs!$B$21+Inputs!$B$5,"Queue wait",IF(A29&lt;=Inputs!$B$21+Configurations!$B$15,"Grid ops"," "))))</f>
        <v>Grid ops</v>
      </c>
      <c r="C29" s="44">
        <f>IF(A29&lt;=Inputs!$B$21,"",A29-Inputs!$B$21-1)</f>
        <v>21</v>
      </c>
      <c r="D29" s="56">
        <f>IF(OR(A29&lt;=Inputs!$B$21,A29&gt;Inputs!$B$21+Configurations!$B$15),0,Configurations!$B$4*Configurations!$B$5*8760*(1-Configurations!$B$6)^C29*Configurations!$B$7*(1-Configurations!$B$8))</f>
        <v>207182.0791434921</v>
      </c>
      <c r="E29" s="55">
        <f>IF(OR(A29&lt;=Inputs!$B$21,A29&gt;Inputs!$B$21+Configurations!$B$15),0,IF(A29&lt;=Inputs!$B$21+Inputs!$B$5,0,D29*Inputs!$B$18/1000000))</f>
        <v>14.91710969833143</v>
      </c>
      <c r="F29" s="55">
        <f>IF(OR(A29&lt;=Inputs!$B$21,A29&gt;Inputs!$B$21+Configurations!$B$15),0,IF(A29&lt;=Inputs!$B$21+Inputs!$B$5,Configurations!$B$13,Configurations!$B$12+Configurations!$B$13+Inputs!$B$20*E29))</f>
        <v>4.3117566454749712</v>
      </c>
      <c r="G29" s="55">
        <f t="shared" si="0"/>
        <v>10.605353052856458</v>
      </c>
      <c r="H29" s="63">
        <f>IF(AND(A29&gt;Inputs!$B$21,A29&lt;=Inputs!$B$21+Inputs!$B$12),Capitalization!B$12,0)</f>
        <v>0</v>
      </c>
      <c r="I29" s="55">
        <f t="shared" si="1"/>
        <v>10.605353052856458</v>
      </c>
      <c r="J29" s="64">
        <f ca="1">IF(A29&lt;=Inputs!$B$21,"",IF(AND(A29&lt;=Inputs!$B$22,Capitalization!B$18&gt;0),Inputs!$B$25,Inputs!$B$26))</f>
        <v>0.97499999999999998</v>
      </c>
      <c r="K29" s="55">
        <f ca="1">IF(A29=0,-Capitalization!B$19,IF(A29&lt;=Inputs!$B$21,0,I29*J29-IF(AND(A29=Inputs!$B$22,Capitalization!B$18&gt;0),Inputs!$B$23,0)))</f>
        <v>10.340219226535046</v>
      </c>
      <c r="L29" s="65" t="str">
        <f t="shared" si="2"/>
        <v/>
      </c>
      <c r="M29" s="55">
        <f>IF(A29=0,-Capitalization!B$4,IF(A29&lt;=Inputs!$B$21,0,G29))</f>
        <v>10.605353052856458</v>
      </c>
    </row>
    <row r="30" spans="1:13" ht="15" customHeight="1" x14ac:dyDescent="0.2">
      <c r="A30" s="44">
        <v>25</v>
      </c>
      <c r="B30" s="44" t="str">
        <f>IF(A30=0,"Equity",IF(A30&lt;=Inputs!$B$21,"Construction",IF(A30&lt;=Inputs!$B$21+Inputs!$B$5,"Queue wait",IF(A30&lt;=Inputs!$B$21+Configurations!$B$15,"Grid ops"," "))))</f>
        <v>Grid ops</v>
      </c>
      <c r="C30" s="44">
        <f>IF(A30&lt;=Inputs!$B$21,"",A30-Inputs!$B$21-1)</f>
        <v>22</v>
      </c>
      <c r="D30" s="56">
        <f>IF(OR(A30&lt;=Inputs!$B$21,A30&gt;Inputs!$B$21+Configurations!$B$15),0,Configurations!$B$4*Configurations!$B$5*8760*(1-Configurations!$B$6)^C30*Configurations!$B$7*(1-Configurations!$B$8))</f>
        <v>206146.16874777465</v>
      </c>
      <c r="E30" s="55">
        <f>IF(OR(A30&lt;=Inputs!$B$21,A30&gt;Inputs!$B$21+Configurations!$B$15),0,IF(A30&lt;=Inputs!$B$21+Inputs!$B$5,0,D30*Inputs!$B$18/1000000))</f>
        <v>14.842524149839774</v>
      </c>
      <c r="F30" s="55">
        <f>IF(OR(A30&lt;=Inputs!$B$21,A30&gt;Inputs!$B$21+Configurations!$B$15),0,IF(A30&lt;=Inputs!$B$21+Inputs!$B$5,Configurations!$B$13,Configurations!$B$12+Configurations!$B$13+Inputs!$B$20*E30))</f>
        <v>4.3106378622475967</v>
      </c>
      <c r="G30" s="55">
        <f t="shared" si="0"/>
        <v>10.531886287592176</v>
      </c>
      <c r="H30" s="63">
        <f>IF(AND(A30&gt;Inputs!$B$21,A30&lt;=Inputs!$B$21+Inputs!$B$12),Capitalization!B$12,0)</f>
        <v>0</v>
      </c>
      <c r="I30" s="55">
        <f t="shared" si="1"/>
        <v>10.531886287592176</v>
      </c>
      <c r="J30" s="64">
        <f ca="1">IF(A30&lt;=Inputs!$B$21,"",IF(AND(A30&lt;=Inputs!$B$22,Capitalization!B$18&gt;0),Inputs!$B$25,Inputs!$B$26))</f>
        <v>0.97499999999999998</v>
      </c>
      <c r="K30" s="55">
        <f ca="1">IF(A30=0,-Capitalization!B$19,IF(A30&lt;=Inputs!$B$21,0,I30*J30-IF(AND(A30=Inputs!$B$22,Capitalization!B$18&gt;0),Inputs!$B$23,0)))</f>
        <v>10.268589130402372</v>
      </c>
      <c r="L30" s="65" t="str">
        <f t="shared" si="2"/>
        <v/>
      </c>
      <c r="M30" s="55">
        <f>IF(A30=0,-Capitalization!B$4,IF(A30&lt;=Inputs!$B$21,0,G30))</f>
        <v>10.531886287592176</v>
      </c>
    </row>
    <row r="31" spans="1:13" ht="15" customHeight="1" x14ac:dyDescent="0.2">
      <c r="A31" s="44">
        <v>26</v>
      </c>
      <c r="B31" s="44" t="str">
        <f>IF(A31=0,"Equity",IF(A31&lt;=Inputs!$B$21,"Construction",IF(A31&lt;=Inputs!$B$21+Inputs!$B$5,"Queue wait",IF(A31&lt;=Inputs!$B$21+Configurations!$B$15,"Grid ops"," "))))</f>
        <v>Grid ops</v>
      </c>
      <c r="C31" s="44">
        <f>IF(A31&lt;=Inputs!$B$21,"",A31-Inputs!$B$21-1)</f>
        <v>23</v>
      </c>
      <c r="D31" s="56">
        <f>IF(OR(A31&lt;=Inputs!$B$21,A31&gt;Inputs!$B$21+Configurations!$B$15),0,Configurations!$B$4*Configurations!$B$5*8760*(1-Configurations!$B$6)^C31*Configurations!$B$7*(1-Configurations!$B$8))</f>
        <v>205115.43790403576</v>
      </c>
      <c r="E31" s="55">
        <f>IF(OR(A31&lt;=Inputs!$B$21,A31&gt;Inputs!$B$21+Configurations!$B$15),0,IF(A31&lt;=Inputs!$B$21+Inputs!$B$5,0,D31*Inputs!$B$18/1000000))</f>
        <v>14.768311529090575</v>
      </c>
      <c r="F31" s="55">
        <f>IF(OR(A31&lt;=Inputs!$B$21,A31&gt;Inputs!$B$21+Configurations!$B$15),0,IF(A31&lt;=Inputs!$B$21+Inputs!$B$5,Configurations!$B$13,Configurations!$B$12+Configurations!$B$13+Inputs!$B$20*E31))</f>
        <v>4.3095246729363588</v>
      </c>
      <c r="G31" s="55">
        <f t="shared" si="0"/>
        <v>10.458786856154216</v>
      </c>
      <c r="H31" s="63">
        <f>IF(AND(A31&gt;Inputs!$B$21,A31&lt;=Inputs!$B$21+Inputs!$B$12),Capitalization!B$12,0)</f>
        <v>0</v>
      </c>
      <c r="I31" s="55">
        <f t="shared" si="1"/>
        <v>10.458786856154216</v>
      </c>
      <c r="J31" s="64">
        <f ca="1">IF(A31&lt;=Inputs!$B$21,"",IF(AND(A31&lt;=Inputs!$B$22,Capitalization!B$18&gt;0),Inputs!$B$25,Inputs!$B$26))</f>
        <v>0.97499999999999998</v>
      </c>
      <c r="K31" s="55">
        <f ca="1">IF(A31=0,-Capitalization!B$19,IF(A31&lt;=Inputs!$B$21,0,I31*J31-IF(AND(A31=Inputs!$B$22,Capitalization!B$18&gt;0),Inputs!$B$23,0)))</f>
        <v>10.197317184750361</v>
      </c>
      <c r="L31" s="65" t="str">
        <f t="shared" si="2"/>
        <v/>
      </c>
      <c r="M31" s="55">
        <f>IF(A31=0,-Capitalization!B$4,IF(A31&lt;=Inputs!$B$21,0,G31))</f>
        <v>10.458786856154216</v>
      </c>
    </row>
    <row r="32" spans="1:13" ht="15" customHeight="1" x14ac:dyDescent="0.2">
      <c r="A32" s="44">
        <v>27</v>
      </c>
      <c r="B32" s="44" t="str">
        <f>IF(A32=0,"Equity",IF(A32&lt;=Inputs!$B$21,"Construction",IF(A32&lt;=Inputs!$B$21+Inputs!$B$5,"Queue wait",IF(A32&lt;=Inputs!$B$21+Configurations!$B$15,"Grid ops"," "))))</f>
        <v>Grid ops</v>
      </c>
      <c r="C32" s="44">
        <f>IF(A32&lt;=Inputs!$B$21,"",A32-Inputs!$B$21-1)</f>
        <v>24</v>
      </c>
      <c r="D32" s="56">
        <f>IF(OR(A32&lt;=Inputs!$B$21,A32&gt;Inputs!$B$21+Configurations!$B$15),0,Configurations!$B$4*Configurations!$B$5*8760*(1-Configurations!$B$6)^C32*Configurations!$B$7*(1-Configurations!$B$8))</f>
        <v>204089.86071451555</v>
      </c>
      <c r="E32" s="55">
        <f>IF(OR(A32&lt;=Inputs!$B$21,A32&gt;Inputs!$B$21+Configurations!$B$15),0,IF(A32&lt;=Inputs!$B$21+Inputs!$B$5,0,D32*Inputs!$B$18/1000000))</f>
        <v>14.694469971445121</v>
      </c>
      <c r="F32" s="55">
        <f>IF(OR(A32&lt;=Inputs!$B$21,A32&gt;Inputs!$B$21+Configurations!$B$15),0,IF(A32&lt;=Inputs!$B$21+Inputs!$B$5,Configurations!$B$13,Configurations!$B$12+Configurations!$B$13+Inputs!$B$20*E32))</f>
        <v>4.3084170495716769</v>
      </c>
      <c r="G32" s="55">
        <f t="shared" si="0"/>
        <v>10.386052921873445</v>
      </c>
      <c r="H32" s="63">
        <f>IF(AND(A32&gt;Inputs!$B$21,A32&lt;=Inputs!$B$21+Inputs!$B$12),Capitalization!B$12,0)</f>
        <v>0</v>
      </c>
      <c r="I32" s="55">
        <f t="shared" si="1"/>
        <v>10.386052921873445</v>
      </c>
      <c r="J32" s="64">
        <f ca="1">IF(A32&lt;=Inputs!$B$21,"",IF(AND(A32&lt;=Inputs!$B$22,Capitalization!B$18&gt;0),Inputs!$B$25,Inputs!$B$26))</f>
        <v>0.97499999999999998</v>
      </c>
      <c r="K32" s="55">
        <f ca="1">IF(A32=0,-Capitalization!B$19,IF(A32&lt;=Inputs!$B$21,0,I32*J32-IF(AND(A32=Inputs!$B$22,Capitalization!B$18&gt;0),Inputs!$B$23,0)))</f>
        <v>10.126401598826607</v>
      </c>
      <c r="L32" s="65" t="str">
        <f t="shared" si="2"/>
        <v/>
      </c>
      <c r="M32" s="55">
        <f>IF(A32=0,-Capitalization!B$4,IF(A32&lt;=Inputs!$B$21,0,G32))</f>
        <v>10.386052921873445</v>
      </c>
    </row>
    <row r="33" spans="1:13" ht="15" customHeight="1" x14ac:dyDescent="0.2">
      <c r="A33" s="44">
        <v>28</v>
      </c>
      <c r="B33" s="44" t="str">
        <f>IF(A33=0,"Equity",IF(A33&lt;=Inputs!$B$21,"Construction",IF(A33&lt;=Inputs!$B$21+Inputs!$B$5,"Queue wait",IF(A33&lt;=Inputs!$B$21+Configurations!$B$15,"Grid ops"," "))))</f>
        <v xml:space="preserve"> </v>
      </c>
      <c r="C33" s="44">
        <f>IF(A33&lt;=Inputs!$B$21,"",A33-Inputs!$B$21-1)</f>
        <v>25</v>
      </c>
      <c r="D33" s="56">
        <f>IF(OR(A33&lt;=Inputs!$B$21,A33&gt;Inputs!$B$21+Configurations!$B$15),0,Configurations!$B$4*Configurations!$B$5*8760*(1-Configurations!$B$6)^C33*Configurations!$B$7*(1-Configurations!$B$8))</f>
        <v>0</v>
      </c>
      <c r="E33" s="55">
        <f>IF(OR(A33&lt;=Inputs!$B$21,A33&gt;Inputs!$B$21+Configurations!$B$15),0,IF(A33&lt;=Inputs!$B$21+Inputs!$B$5,0,D33*Inputs!$B$18/1000000))</f>
        <v>0</v>
      </c>
      <c r="F33" s="55">
        <f>IF(OR(A33&lt;=Inputs!$B$21,A33&gt;Inputs!$B$21+Configurations!$B$15),0,IF(A33&lt;=Inputs!$B$21+Inputs!$B$5,Configurations!$B$13,Configurations!$B$12+Configurations!$B$13+Inputs!$B$20*E33))</f>
        <v>0</v>
      </c>
      <c r="G33" s="55">
        <f t="shared" si="0"/>
        <v>0</v>
      </c>
      <c r="H33" s="63">
        <f>IF(AND(A33&gt;Inputs!$B$21,A33&lt;=Inputs!$B$21+Inputs!$B$12),Capitalization!B$12,0)</f>
        <v>0</v>
      </c>
      <c r="I33" s="55">
        <f t="shared" si="1"/>
        <v>0</v>
      </c>
      <c r="J33" s="64">
        <f ca="1">IF(A33&lt;=Inputs!$B$21,"",IF(AND(A33&lt;=Inputs!$B$22,Capitalization!B$18&gt;0),Inputs!$B$25,Inputs!$B$26))</f>
        <v>0.97499999999999998</v>
      </c>
      <c r="K33" s="55">
        <f ca="1">IF(A33=0,-Capitalization!B$19,IF(A33&lt;=Inputs!$B$21,0,I33*J33-IF(AND(A33=Inputs!$B$22,Capitalization!B$18&gt;0),Inputs!$B$23,0)))</f>
        <v>0</v>
      </c>
      <c r="L33" s="65" t="str">
        <f t="shared" si="2"/>
        <v/>
      </c>
      <c r="M33" s="55">
        <f>IF(A33=0,-Capitalization!B$4,IF(A33&lt;=Inputs!$B$21,0,G33))</f>
        <v>0</v>
      </c>
    </row>
    <row r="34" spans="1:13" ht="15" customHeight="1" x14ac:dyDescent="0.2">
      <c r="A34" s="44">
        <v>29</v>
      </c>
      <c r="B34" s="44" t="str">
        <f>IF(A34=0,"Equity",IF(A34&lt;=Inputs!$B$21,"Construction",IF(A34&lt;=Inputs!$B$21+Inputs!$B$5,"Queue wait",IF(A34&lt;=Inputs!$B$21+Configurations!$B$15,"Grid ops"," "))))</f>
        <v xml:space="preserve"> </v>
      </c>
      <c r="C34" s="44">
        <f>IF(A34&lt;=Inputs!$B$21,"",A34-Inputs!$B$21-1)</f>
        <v>26</v>
      </c>
      <c r="D34" s="56">
        <f>IF(OR(A34&lt;=Inputs!$B$21,A34&gt;Inputs!$B$21+Configurations!$B$15),0,Configurations!$B$4*Configurations!$B$5*8760*(1-Configurations!$B$6)^C34*Configurations!$B$7*(1-Configurations!$B$8))</f>
        <v>0</v>
      </c>
      <c r="E34" s="55">
        <f>IF(OR(A34&lt;=Inputs!$B$21,A34&gt;Inputs!$B$21+Configurations!$B$15),0,IF(A34&lt;=Inputs!$B$21+Inputs!$B$5,0,D34*Inputs!$B$18/1000000))</f>
        <v>0</v>
      </c>
      <c r="F34" s="55">
        <f>IF(OR(A34&lt;=Inputs!$B$21,A34&gt;Inputs!$B$21+Configurations!$B$15),0,IF(A34&lt;=Inputs!$B$21+Inputs!$B$5,Configurations!$B$13,Configurations!$B$12+Configurations!$B$13+Inputs!$B$20*E34))</f>
        <v>0</v>
      </c>
      <c r="G34" s="55">
        <f t="shared" si="0"/>
        <v>0</v>
      </c>
      <c r="H34" s="63">
        <f>IF(AND(A34&gt;Inputs!$B$21,A34&lt;=Inputs!$B$21+Inputs!$B$12),Capitalization!B$12,0)</f>
        <v>0</v>
      </c>
      <c r="I34" s="55">
        <f t="shared" si="1"/>
        <v>0</v>
      </c>
      <c r="J34" s="64">
        <f ca="1">IF(A34&lt;=Inputs!$B$21,"",IF(AND(A34&lt;=Inputs!$B$22,Capitalization!B$18&gt;0),Inputs!$B$25,Inputs!$B$26))</f>
        <v>0.97499999999999998</v>
      </c>
      <c r="K34" s="55">
        <f ca="1">IF(A34=0,-Capitalization!B$19,IF(A34&lt;=Inputs!$B$21,0,I34*J34-IF(AND(A34=Inputs!$B$22,Capitalization!B$18&gt;0),Inputs!$B$23,0)))</f>
        <v>0</v>
      </c>
      <c r="L34" s="65" t="str">
        <f t="shared" si="2"/>
        <v/>
      </c>
      <c r="M34" s="55">
        <f>IF(A34=0,-Capitalization!B$4,IF(A34&lt;=Inputs!$B$21,0,G34))</f>
        <v>0</v>
      </c>
    </row>
    <row r="35" spans="1:13" ht="15" customHeight="1" x14ac:dyDescent="0.2">
      <c r="A35" s="44">
        <v>30</v>
      </c>
      <c r="B35" s="44" t="str">
        <f>IF(A35=0,"Equity",IF(A35&lt;=Inputs!$B$21,"Construction",IF(A35&lt;=Inputs!$B$21+Inputs!$B$5,"Queue wait",IF(A35&lt;=Inputs!$B$21+Configurations!$B$15,"Grid ops"," "))))</f>
        <v xml:space="preserve"> </v>
      </c>
      <c r="C35" s="44">
        <f>IF(A35&lt;=Inputs!$B$21,"",A35-Inputs!$B$21-1)</f>
        <v>27</v>
      </c>
      <c r="D35" s="56">
        <f>IF(OR(A35&lt;=Inputs!$B$21,A35&gt;Inputs!$B$21+Configurations!$B$15),0,Configurations!$B$4*Configurations!$B$5*8760*(1-Configurations!$B$6)^C35*Configurations!$B$7*(1-Configurations!$B$8))</f>
        <v>0</v>
      </c>
      <c r="E35" s="55">
        <f>IF(OR(A35&lt;=Inputs!$B$21,A35&gt;Inputs!$B$21+Configurations!$B$15),0,IF(A35&lt;=Inputs!$B$21+Inputs!$B$5,0,D35*Inputs!$B$18/1000000))</f>
        <v>0</v>
      </c>
      <c r="F35" s="55">
        <f>IF(OR(A35&lt;=Inputs!$B$21,A35&gt;Inputs!$B$21+Configurations!$B$15),0,IF(A35&lt;=Inputs!$B$21+Inputs!$B$5,Configurations!$B$13,Configurations!$B$12+Configurations!$B$13+Inputs!$B$20*E35))</f>
        <v>0</v>
      </c>
      <c r="G35" s="55">
        <f t="shared" si="0"/>
        <v>0</v>
      </c>
      <c r="H35" s="63">
        <f>IF(AND(A35&gt;Inputs!$B$21,A35&lt;=Inputs!$B$21+Inputs!$B$12),Capitalization!B$12,0)</f>
        <v>0</v>
      </c>
      <c r="I35" s="55">
        <f t="shared" si="1"/>
        <v>0</v>
      </c>
      <c r="J35" s="64">
        <f ca="1">IF(A35&lt;=Inputs!$B$21,"",IF(AND(A35&lt;=Inputs!$B$22,Capitalization!B$18&gt;0),Inputs!$B$25,Inputs!$B$26))</f>
        <v>0.97499999999999998</v>
      </c>
      <c r="K35" s="55">
        <f ca="1">IF(A35=0,-Capitalization!B$19,IF(A35&lt;=Inputs!$B$21,0,I35*J35-IF(AND(A35=Inputs!$B$22,Capitalization!B$18&gt;0),Inputs!$B$23,0)))</f>
        <v>0</v>
      </c>
      <c r="L35" s="65" t="str">
        <f t="shared" si="2"/>
        <v/>
      </c>
      <c r="M35" s="55">
        <f>IF(A35=0,-Capitalization!B$4,IF(A35&lt;=Inputs!$B$21,0,G35))</f>
        <v>0</v>
      </c>
    </row>
    <row r="36" spans="1:13" ht="15" customHeight="1" x14ac:dyDescent="0.2">
      <c r="A36" s="44">
        <v>31</v>
      </c>
      <c r="B36" s="44" t="str">
        <f>IF(A36=0,"Equity",IF(A36&lt;=Inputs!$B$21,"Construction",IF(A36&lt;=Inputs!$B$21+Inputs!$B$5,"Queue wait",IF(A36&lt;=Inputs!$B$21+Configurations!$B$15,"Grid ops"," "))))</f>
        <v xml:space="preserve"> </v>
      </c>
      <c r="C36" s="44">
        <f>IF(A36&lt;=Inputs!$B$21,"",A36-Inputs!$B$21-1)</f>
        <v>28</v>
      </c>
      <c r="D36" s="56">
        <f>IF(OR(A36&lt;=Inputs!$B$21,A36&gt;Inputs!$B$21+Configurations!$B$15),0,Configurations!$B$4*Configurations!$B$5*8760*(1-Configurations!$B$6)^C36*Configurations!$B$7*(1-Configurations!$B$8))</f>
        <v>0</v>
      </c>
      <c r="E36" s="55">
        <f>IF(OR(A36&lt;=Inputs!$B$21,A36&gt;Inputs!$B$21+Configurations!$B$15),0,IF(A36&lt;=Inputs!$B$21+Inputs!$B$5,0,D36*Inputs!$B$18/1000000))</f>
        <v>0</v>
      </c>
      <c r="F36" s="55">
        <f>IF(OR(A36&lt;=Inputs!$B$21,A36&gt;Inputs!$B$21+Configurations!$B$15),0,IF(A36&lt;=Inputs!$B$21+Inputs!$B$5,Configurations!$B$13,Configurations!$B$12+Configurations!$B$13+Inputs!$B$20*E36))</f>
        <v>0</v>
      </c>
      <c r="G36" s="55">
        <f t="shared" si="0"/>
        <v>0</v>
      </c>
      <c r="H36" s="63">
        <f>IF(AND(A36&gt;Inputs!$B$21,A36&lt;=Inputs!$B$21+Inputs!$B$12),Capitalization!B$12,0)</f>
        <v>0</v>
      </c>
      <c r="I36" s="55">
        <f t="shared" si="1"/>
        <v>0</v>
      </c>
      <c r="J36" s="64">
        <f ca="1">IF(A36&lt;=Inputs!$B$21,"",IF(AND(A36&lt;=Inputs!$B$22,Capitalization!B$18&gt;0),Inputs!$B$25,Inputs!$B$26))</f>
        <v>0.97499999999999998</v>
      </c>
      <c r="K36" s="55">
        <f ca="1">IF(A36=0,-Capitalization!B$19,IF(A36&lt;=Inputs!$B$21,0,I36*J36-IF(AND(A36=Inputs!$B$22,Capitalization!B$18&gt;0),Inputs!$B$23,0)))</f>
        <v>0</v>
      </c>
      <c r="L36" s="65" t="str">
        <f t="shared" si="2"/>
        <v/>
      </c>
      <c r="M36" s="55">
        <f>IF(A36=0,-Capitalization!B$4,IF(A36&lt;=Inputs!$B$21,0,G36))</f>
        <v>0</v>
      </c>
    </row>
    <row r="37" spans="1:13" ht="15" customHeight="1" x14ac:dyDescent="0.2">
      <c r="A37" s="44">
        <v>32</v>
      </c>
      <c r="B37" s="44" t="str">
        <f>IF(A37=0,"Equity",IF(A37&lt;=Inputs!$B$21,"Construction",IF(A37&lt;=Inputs!$B$21+Inputs!$B$5,"Queue wait",IF(A37&lt;=Inputs!$B$21+Configurations!$B$15,"Grid ops"," "))))</f>
        <v xml:space="preserve"> </v>
      </c>
      <c r="C37" s="44">
        <f>IF(A37&lt;=Inputs!$B$21,"",A37-Inputs!$B$21-1)</f>
        <v>29</v>
      </c>
      <c r="D37" s="56">
        <f>IF(OR(A37&lt;=Inputs!$B$21,A37&gt;Inputs!$B$21+Configurations!$B$15),0,Configurations!$B$4*Configurations!$B$5*8760*(1-Configurations!$B$6)^C37*Configurations!$B$7*(1-Configurations!$B$8))</f>
        <v>0</v>
      </c>
      <c r="E37" s="55">
        <f>IF(OR(A37&lt;=Inputs!$B$21,A37&gt;Inputs!$B$21+Configurations!$B$15),0,IF(A37&lt;=Inputs!$B$21+Inputs!$B$5,0,D37*Inputs!$B$18/1000000))</f>
        <v>0</v>
      </c>
      <c r="F37" s="55">
        <f>IF(OR(A37&lt;=Inputs!$B$21,A37&gt;Inputs!$B$21+Configurations!$B$15),0,IF(A37&lt;=Inputs!$B$21+Inputs!$B$5,Configurations!$B$13,Configurations!$B$12+Configurations!$B$13+Inputs!$B$20*E37))</f>
        <v>0</v>
      </c>
      <c r="G37" s="55">
        <f t="shared" si="0"/>
        <v>0</v>
      </c>
      <c r="H37" s="63">
        <f>IF(AND(A37&gt;Inputs!$B$21,A37&lt;=Inputs!$B$21+Inputs!$B$12),Capitalization!B$12,0)</f>
        <v>0</v>
      </c>
      <c r="I37" s="55">
        <f t="shared" si="1"/>
        <v>0</v>
      </c>
      <c r="J37" s="64">
        <f ca="1">IF(A37&lt;=Inputs!$B$21,"",IF(AND(A37&lt;=Inputs!$B$22,Capitalization!B$18&gt;0),Inputs!$B$25,Inputs!$B$26))</f>
        <v>0.97499999999999998</v>
      </c>
      <c r="K37" s="55">
        <f ca="1">IF(A37=0,-Capitalization!B$19,IF(A37&lt;=Inputs!$B$21,0,I37*J37-IF(AND(A37=Inputs!$B$22,Capitalization!B$18&gt;0),Inputs!$B$23,0)))</f>
        <v>0</v>
      </c>
      <c r="L37" s="65" t="str">
        <f t="shared" si="2"/>
        <v/>
      </c>
      <c r="M37" s="55">
        <f>IF(A37=0,-Capitalization!B$4,IF(A37&lt;=Inputs!$B$21,0,G37))</f>
        <v>0</v>
      </c>
    </row>
  </sheetData>
  <phoneticPr fontId="22" type="noConversion"/>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7"/>
  <sheetViews>
    <sheetView zoomScaleNormal="100" workbookViewId="0"/>
  </sheetViews>
  <sheetFormatPr baseColWidth="10" defaultColWidth="8.6640625" defaultRowHeight="15" x14ac:dyDescent="0.2"/>
  <cols>
    <col min="1" max="1" width="6" customWidth="1"/>
    <col min="2" max="2" width="12" customWidth="1"/>
    <col min="4" max="13" width="13" customWidth="1"/>
  </cols>
  <sheetData>
    <row r="1" spans="1:13" ht="15.75" customHeight="1" x14ac:dyDescent="0.2">
      <c r="A1" s="7" t="s">
        <v>397</v>
      </c>
    </row>
    <row r="2" spans="1:13" ht="15" customHeight="1" x14ac:dyDescent="0.2">
      <c r="A2" s="57" t="s">
        <v>382</v>
      </c>
      <c r="B2" s="59">
        <f ca="1">IRR(K5:K37)</f>
        <v>0.11794323080526703</v>
      </c>
      <c r="C2" s="57" t="s">
        <v>383</v>
      </c>
      <c r="D2" s="60">
        <f ca="1">IRR(M5:M37)</f>
        <v>3.1641613734069374E-2</v>
      </c>
      <c r="E2" s="57" t="s">
        <v>384</v>
      </c>
      <c r="F2" s="61">
        <f ca="1">K5+NPV(Inputs!$B$24,K6:K37)</f>
        <v>11.741962380466042</v>
      </c>
    </row>
    <row r="4" spans="1:13" ht="26.25" customHeight="1" x14ac:dyDescent="0.2">
      <c r="A4" s="62" t="s">
        <v>64</v>
      </c>
      <c r="B4" s="62" t="s">
        <v>385</v>
      </c>
      <c r="C4" s="62" t="s">
        <v>386</v>
      </c>
      <c r="D4" s="62" t="s">
        <v>387</v>
      </c>
      <c r="E4" s="62" t="s">
        <v>388</v>
      </c>
      <c r="F4" s="62" t="s">
        <v>389</v>
      </c>
      <c r="G4" s="62" t="s">
        <v>390</v>
      </c>
      <c r="H4" s="62" t="s">
        <v>391</v>
      </c>
      <c r="I4" s="62" t="s">
        <v>392</v>
      </c>
      <c r="J4" s="62" t="s">
        <v>393</v>
      </c>
      <c r="K4" s="62" t="s">
        <v>394</v>
      </c>
      <c r="L4" s="62" t="s">
        <v>395</v>
      </c>
      <c r="M4" s="62" t="s">
        <v>396</v>
      </c>
    </row>
    <row r="5" spans="1:13" ht="15" customHeight="1" x14ac:dyDescent="0.2">
      <c r="A5" s="44">
        <v>0</v>
      </c>
      <c r="B5" s="44" t="str">
        <f>IF(A5=0,"Equity",IF(A5&lt;=Inputs!$B$21,"Construction",IF(A5&lt;=Inputs!$B$21+Inputs!$B$5,"Queue wait",IF(A5&lt;=Inputs!$B$21+Configurations!$B$15,"Grid ops"," "))))</f>
        <v>Equity</v>
      </c>
      <c r="C5" s="44" t="str">
        <f>IF(A5&lt;=Inputs!$B$21,"",A5-Inputs!$B$21-1)</f>
        <v/>
      </c>
      <c r="D5" s="56">
        <f>IF(OR(A5&lt;=Inputs!$B$21,A5&gt;Inputs!$B$21+Configurations!$B$15),0,Configurations!$B$4*Configurations!$B$5*8760*(1-Configurations!$B$6)^C5*Configurations!$B$7*(1-Configurations!$B$8))</f>
        <v>0</v>
      </c>
      <c r="E5" s="55">
        <f>IF(OR(A5&lt;=Inputs!$B$21,A5&gt;Inputs!$B$21+Configurations!$B$15),0,IF(A5&lt;=Inputs!$B$21+Inputs!$B$5,D5*(1-Inputs!$B$10)*Configurations!$B$16/1000000,D5*Inputs!$B$18/1000000))</f>
        <v>0</v>
      </c>
      <c r="F5" s="55">
        <f>IF(OR(A5&lt;=Inputs!$B$21,A5&gt;Inputs!$B$21+Configurations!$B$15),0,Configurations!$B$12+Configurations!$B$13+Configurations!$B$14+Inputs!$B$20*E5)</f>
        <v>0</v>
      </c>
      <c r="G5" s="55">
        <f t="shared" ref="G5:G37" si="0">E5-F5</f>
        <v>0</v>
      </c>
      <c r="H5" s="63">
        <f>IF(AND(A5&gt;Inputs!$B$21,A5&lt;=Inputs!$B$21+Inputs!$B$12),Capitalization!C$12,0)</f>
        <v>0</v>
      </c>
      <c r="I5" s="55">
        <f t="shared" ref="I5:I37" si="1">G5-H5</f>
        <v>0</v>
      </c>
      <c r="J5" s="64" t="str">
        <f>IF(A5&lt;=Inputs!$B$21,"",IF(AND(A5&lt;=Inputs!$B$22,Capitalization!C$18&gt;0),Inputs!$B$25,Inputs!$B$26))</f>
        <v/>
      </c>
      <c r="K5" s="55">
        <f ca="1">IF(A5=0,-Capitalization!C$19,IF(A5&lt;=Inputs!$B$21,0,I5*J5-IF(AND(A5=Inputs!$B$22,Capitalization!C$18&gt;0),Inputs!$B$23,0)))</f>
        <v>-33.749566492309313</v>
      </c>
      <c r="L5" s="65" t="str">
        <f t="shared" ref="L5:L37" si="2">IF(H5&gt;0,G5/H5,"")</f>
        <v/>
      </c>
      <c r="M5" s="55">
        <f>IF(A5=0,-Capitalization!C$4,IF(A5&lt;=Inputs!$B$21,0,G5))</f>
        <v>-209</v>
      </c>
    </row>
    <row r="6" spans="1:13" ht="15" customHeight="1" x14ac:dyDescent="0.2">
      <c r="A6" s="44">
        <v>1</v>
      </c>
      <c r="B6" s="44" t="str">
        <f>IF(A6=0,"Equity",IF(A6&lt;=Inputs!$B$21,"Construction",IF(A6&lt;=Inputs!$B$21+Inputs!$B$5,"Queue wait",IF(A6&lt;=Inputs!$B$21+Configurations!$B$15,"Grid ops"," "))))</f>
        <v>Construction</v>
      </c>
      <c r="C6" s="44" t="str">
        <f>IF(A6&lt;=Inputs!$B$21,"",A6-Inputs!$B$21-1)</f>
        <v/>
      </c>
      <c r="D6" s="56">
        <f>IF(OR(A6&lt;=Inputs!$B$21,A6&gt;Inputs!$B$21+Configurations!$B$15),0,Configurations!$B$4*Configurations!$B$5*8760*(1-Configurations!$B$6)^C6*Configurations!$B$7*(1-Configurations!$B$8))</f>
        <v>0</v>
      </c>
      <c r="E6" s="55">
        <f>IF(OR(A6&lt;=Inputs!$B$21,A6&gt;Inputs!$B$21+Configurations!$B$15),0,IF(A6&lt;=Inputs!$B$21+Inputs!$B$5,D6*(1-Inputs!$B$10)*Configurations!$B$16/1000000,D6*Inputs!$B$18/1000000))</f>
        <v>0</v>
      </c>
      <c r="F6" s="55">
        <f>IF(OR(A6&lt;=Inputs!$B$21,A6&gt;Inputs!$B$21+Configurations!$B$15),0,Configurations!$B$12+Configurations!$B$13+Configurations!$B$14+Inputs!$B$20*E6)</f>
        <v>0</v>
      </c>
      <c r="G6" s="55">
        <f t="shared" si="0"/>
        <v>0</v>
      </c>
      <c r="H6" s="63">
        <f>IF(AND(A6&gt;Inputs!$B$21,A6&lt;=Inputs!$B$21+Inputs!$B$12),Capitalization!C$12,0)</f>
        <v>0</v>
      </c>
      <c r="I6" s="55">
        <f t="shared" si="1"/>
        <v>0</v>
      </c>
      <c r="J6" s="64" t="str">
        <f>IF(A6&lt;=Inputs!$B$21,"",IF(AND(A6&lt;=Inputs!$B$22,Capitalization!C$18&gt;0),Inputs!$B$25,Inputs!$B$26))</f>
        <v/>
      </c>
      <c r="K6" s="55">
        <f>IF(A6=0,-Capitalization!C$19,IF(A6&lt;=Inputs!$B$21,0,I6*J6-IF(AND(A6=Inputs!$B$22,Capitalization!C$18&gt;0),Inputs!$B$23,0)))</f>
        <v>0</v>
      </c>
      <c r="L6" s="65" t="str">
        <f t="shared" si="2"/>
        <v/>
      </c>
      <c r="M6" s="55">
        <f>IF(A6=0,-Capitalization!C$4,IF(A6&lt;=Inputs!$B$21,0,G6))</f>
        <v>0</v>
      </c>
    </row>
    <row r="7" spans="1:13" ht="15" customHeight="1" x14ac:dyDescent="0.2">
      <c r="A7" s="44">
        <v>2</v>
      </c>
      <c r="B7" s="44" t="str">
        <f>IF(A7=0,"Equity",IF(A7&lt;=Inputs!$B$21,"Construction",IF(A7&lt;=Inputs!$B$21+Inputs!$B$5,"Queue wait",IF(A7&lt;=Inputs!$B$21+Configurations!$B$15,"Grid ops"," "))))</f>
        <v>Construction</v>
      </c>
      <c r="C7" s="44" t="str">
        <f>IF(A7&lt;=Inputs!$B$21,"",A7-Inputs!$B$21-1)</f>
        <v/>
      </c>
      <c r="D7" s="56">
        <f>IF(OR(A7&lt;=Inputs!$B$21,A7&gt;Inputs!$B$21+Configurations!$B$15),0,Configurations!$B$4*Configurations!$B$5*8760*(1-Configurations!$B$6)^C7*Configurations!$B$7*(1-Configurations!$B$8))</f>
        <v>0</v>
      </c>
      <c r="E7" s="55">
        <f>IF(OR(A7&lt;=Inputs!$B$21,A7&gt;Inputs!$B$21+Configurations!$B$15),0,IF(A7&lt;=Inputs!$B$21+Inputs!$B$5,D7*(1-Inputs!$B$10)*Configurations!$B$16/1000000,D7*Inputs!$B$18/1000000))</f>
        <v>0</v>
      </c>
      <c r="F7" s="55">
        <f>IF(OR(A7&lt;=Inputs!$B$21,A7&gt;Inputs!$B$21+Configurations!$B$15),0,Configurations!$B$12+Configurations!$B$13+Configurations!$B$14+Inputs!$B$20*E7)</f>
        <v>0</v>
      </c>
      <c r="G7" s="55">
        <f t="shared" si="0"/>
        <v>0</v>
      </c>
      <c r="H7" s="63">
        <f>IF(AND(A7&gt;Inputs!$B$21,A7&lt;=Inputs!$B$21+Inputs!$B$12),Capitalization!C$12,0)</f>
        <v>0</v>
      </c>
      <c r="I7" s="55">
        <f t="shared" si="1"/>
        <v>0</v>
      </c>
      <c r="J7" s="64" t="str">
        <f>IF(A7&lt;=Inputs!$B$21,"",IF(AND(A7&lt;=Inputs!$B$22,Capitalization!C$18&gt;0),Inputs!$B$25,Inputs!$B$26))</f>
        <v/>
      </c>
      <c r="K7" s="55">
        <f>IF(A7=0,-Capitalization!C$19,IF(A7&lt;=Inputs!$B$21,0,I7*J7-IF(AND(A7=Inputs!$B$22,Capitalization!C$18&gt;0),Inputs!$B$23,0)))</f>
        <v>0</v>
      </c>
      <c r="L7" s="65" t="str">
        <f t="shared" si="2"/>
        <v/>
      </c>
      <c r="M7" s="55">
        <f>IF(A7=0,-Capitalization!C$4,IF(A7&lt;=Inputs!$B$21,0,G7))</f>
        <v>0</v>
      </c>
    </row>
    <row r="8" spans="1:13" ht="15" customHeight="1" x14ac:dyDescent="0.2">
      <c r="A8" s="44">
        <v>3</v>
      </c>
      <c r="B8" s="44" t="str">
        <f>IF(A8=0,"Equity",IF(A8&lt;=Inputs!$B$21,"Construction",IF(A8&lt;=Inputs!$B$21+Inputs!$B$5,"Queue wait",IF(A8&lt;=Inputs!$B$21+Configurations!$B$15,"Grid ops"," "))))</f>
        <v>Queue wait</v>
      </c>
      <c r="C8" s="44">
        <f>IF(A8&lt;=Inputs!$B$21,"",A8-Inputs!$B$21-1)</f>
        <v>0</v>
      </c>
      <c r="D8" s="56">
        <f>IF(OR(A8&lt;=Inputs!$B$21,A8&gt;Inputs!$B$21+Configurations!$B$15),0,Configurations!$B$4*Configurations!$B$5*8760*(1-Configurations!$B$6)^C8*Configurations!$B$7*(1-Configurations!$B$8))</f>
        <v>230179.95</v>
      </c>
      <c r="E8" s="55">
        <f ca="1">IF(OR(A8&lt;=Inputs!$B$21,A8&gt;Inputs!$B$21+Configurations!$B$15),0,IF(A8&lt;=Inputs!$B$21+Inputs!$B$5,D8*(1-Inputs!$B$10)*Configurations!$B$16/1000000,D8*Inputs!$B$18/1000000))</f>
        <v>27.631648152737196</v>
      </c>
      <c r="F8" s="55">
        <f ca="1">IF(OR(A8&lt;=Inputs!$B$21,A8&gt;Inputs!$B$21+Configurations!$B$15),0,Configurations!$B$12+Configurations!$B$13+Configurations!$B$14+Inputs!$B$20*E8)</f>
        <v>5.2524747222910584</v>
      </c>
      <c r="G8" s="55">
        <f t="shared" ca="1" si="0"/>
        <v>22.379173430446137</v>
      </c>
      <c r="H8" s="63">
        <f>IF(AND(A8&gt;Inputs!$B$21,A8&lt;=Inputs!$B$21+Inputs!$B$12),Capitalization!C$12,0)</f>
        <v>8.5084163362962943</v>
      </c>
      <c r="I8" s="55">
        <f t="shared" ca="1" si="1"/>
        <v>13.870757094149843</v>
      </c>
      <c r="J8" s="64">
        <f ca="1">IF(A8&lt;=Inputs!$B$21,"",IF(AND(A8&lt;=Inputs!$B$22,Capitalization!C$18&gt;0),Inputs!$B$25,Inputs!$B$26))</f>
        <v>0.7</v>
      </c>
      <c r="K8" s="55">
        <f ca="1">IF(A8=0,-Capitalization!C$19,IF(A8&lt;=Inputs!$B$21,0,I8*J8-IF(AND(A8=Inputs!$B$22,Capitalization!C$18&gt;0),Inputs!$B$23,0)))</f>
        <v>9.7095299659048901</v>
      </c>
      <c r="L8" s="65">
        <f t="shared" ca="1" si="2"/>
        <v>2.630239582303723</v>
      </c>
      <c r="M8" s="55">
        <f ca="1">IF(A8=0,-Capitalization!C$4,IF(A8&lt;=Inputs!$B$21,0,G8))</f>
        <v>22.379173430446137</v>
      </c>
    </row>
    <row r="9" spans="1:13" ht="15" customHeight="1" x14ac:dyDescent="0.2">
      <c r="A9" s="44">
        <v>4</v>
      </c>
      <c r="B9" s="44" t="str">
        <f>IF(A9=0,"Equity",IF(A9&lt;=Inputs!$B$21,"Construction",IF(A9&lt;=Inputs!$B$21+Inputs!$B$5,"Queue wait",IF(A9&lt;=Inputs!$B$21+Configurations!$B$15,"Grid ops"," "))))</f>
        <v>Queue wait</v>
      </c>
      <c r="C9" s="44">
        <f>IF(A9&lt;=Inputs!$B$21,"",A9-Inputs!$B$21-1)</f>
        <v>1</v>
      </c>
      <c r="D9" s="56">
        <f>IF(OR(A9&lt;=Inputs!$B$21,A9&gt;Inputs!$B$21+Configurations!$B$15),0,Configurations!$B$4*Configurations!$B$5*8760*(1-Configurations!$B$6)^C9*Configurations!$B$7*(1-Configurations!$B$8))</f>
        <v>229029.05025000003</v>
      </c>
      <c r="E9" s="55">
        <f ca="1">IF(OR(A9&lt;=Inputs!$B$21,A9&gt;Inputs!$B$21+Configurations!$B$15),0,IF(A9&lt;=Inputs!$B$21+Inputs!$B$5,D9*(1-Inputs!$B$10)*Configurations!$B$16/1000000,D9*Inputs!$B$18/1000000))</f>
        <v>27.493489911973512</v>
      </c>
      <c r="F9" s="55">
        <f ca="1">IF(OR(A9&lt;=Inputs!$B$21,A9&gt;Inputs!$B$21+Configurations!$B$15),0,Configurations!$B$12+Configurations!$B$13+Configurations!$B$14+Inputs!$B$20*E9)</f>
        <v>5.2504023486796028</v>
      </c>
      <c r="G9" s="55">
        <f t="shared" ca="1" si="0"/>
        <v>22.243087563293908</v>
      </c>
      <c r="H9" s="63">
        <f>IF(AND(A9&gt;Inputs!$B$21,A9&lt;=Inputs!$B$21+Inputs!$B$12),Capitalization!C$12,0)</f>
        <v>8.5084163362962943</v>
      </c>
      <c r="I9" s="55">
        <f t="shared" ca="1" si="1"/>
        <v>13.734671226997614</v>
      </c>
      <c r="J9" s="64">
        <f ca="1">IF(A9&lt;=Inputs!$B$21,"",IF(AND(A9&lt;=Inputs!$B$22,Capitalization!C$18&gt;0),Inputs!$B$25,Inputs!$B$26))</f>
        <v>0.7</v>
      </c>
      <c r="K9" s="55">
        <f ca="1">IF(A9=0,-Capitalization!C$19,IF(A9&lt;=Inputs!$B$21,0,I9*J9-IF(AND(A9=Inputs!$B$22,Capitalization!C$18&gt;0),Inputs!$B$23,0)))</f>
        <v>9.6142698588983286</v>
      </c>
      <c r="L9" s="65">
        <f t="shared" ca="1" si="2"/>
        <v>2.6142453171228222</v>
      </c>
      <c r="M9" s="55">
        <f ca="1">IF(A9=0,-Capitalization!C$4,IF(A9&lt;=Inputs!$B$21,0,G9))</f>
        <v>22.243087563293908</v>
      </c>
    </row>
    <row r="10" spans="1:13" ht="15" customHeight="1" x14ac:dyDescent="0.2">
      <c r="A10" s="44">
        <v>5</v>
      </c>
      <c r="B10" s="44" t="str">
        <f>IF(A10=0,"Equity",IF(A10&lt;=Inputs!$B$21,"Construction",IF(A10&lt;=Inputs!$B$21+Inputs!$B$5,"Queue wait",IF(A10&lt;=Inputs!$B$21+Configurations!$B$15,"Grid ops"," "))))</f>
        <v>Queue wait</v>
      </c>
      <c r="C10" s="44">
        <f>IF(A10&lt;=Inputs!$B$21,"",A10-Inputs!$B$21-1)</f>
        <v>2</v>
      </c>
      <c r="D10" s="56">
        <f>IF(OR(A10&lt;=Inputs!$B$21,A10&gt;Inputs!$B$21+Configurations!$B$15),0,Configurations!$B$4*Configurations!$B$5*8760*(1-Configurations!$B$6)^C10*Configurations!$B$7*(1-Configurations!$B$8))</f>
        <v>227883.90499875005</v>
      </c>
      <c r="E10" s="55">
        <f ca="1">IF(OR(A10&lt;=Inputs!$B$21,A10&gt;Inputs!$B$21+Configurations!$B$15),0,IF(A10&lt;=Inputs!$B$21+Inputs!$B$5,D10*(1-Inputs!$B$10)*Configurations!$B$16/1000000,D10*Inputs!$B$18/1000000))</f>
        <v>27.356022462413645</v>
      </c>
      <c r="F10" s="55">
        <f ca="1">IF(OR(A10&lt;=Inputs!$B$21,A10&gt;Inputs!$B$21+Configurations!$B$15),0,Configurations!$B$12+Configurations!$B$13+Configurations!$B$14+Inputs!$B$20*E10)</f>
        <v>5.2483403369362049</v>
      </c>
      <c r="G10" s="55">
        <f t="shared" ca="1" si="0"/>
        <v>22.107682125477439</v>
      </c>
      <c r="H10" s="63">
        <f>IF(AND(A10&gt;Inputs!$B$21,A10&lt;=Inputs!$B$21+Inputs!$B$12),Capitalization!C$12,0)</f>
        <v>8.5084163362962943</v>
      </c>
      <c r="I10" s="55">
        <f t="shared" ca="1" si="1"/>
        <v>13.599265789181144</v>
      </c>
      <c r="J10" s="64">
        <f ca="1">IF(A10&lt;=Inputs!$B$21,"",IF(AND(A10&lt;=Inputs!$B$22,Capitalization!C$18&gt;0),Inputs!$B$25,Inputs!$B$26))</f>
        <v>0.7</v>
      </c>
      <c r="K10" s="55">
        <f ca="1">IF(A10=0,-Capitalization!C$19,IF(A10&lt;=Inputs!$B$21,0,I10*J10-IF(AND(A10=Inputs!$B$22,Capitalization!C$18&gt;0),Inputs!$B$23,0)))</f>
        <v>9.5194860524268012</v>
      </c>
      <c r="L10" s="65">
        <f t="shared" ca="1" si="2"/>
        <v>2.5983310232678263</v>
      </c>
      <c r="M10" s="55">
        <f ca="1">IF(A10=0,-Capitalization!C$4,IF(A10&lt;=Inputs!$B$21,0,G10))</f>
        <v>22.107682125477439</v>
      </c>
    </row>
    <row r="11" spans="1:13" ht="15" customHeight="1" x14ac:dyDescent="0.2">
      <c r="A11" s="44">
        <v>6</v>
      </c>
      <c r="B11" s="44" t="str">
        <f>IF(A11=0,"Equity",IF(A11&lt;=Inputs!$B$21,"Construction",IF(A11&lt;=Inputs!$B$21+Inputs!$B$5,"Queue wait",IF(A11&lt;=Inputs!$B$21+Configurations!$B$15,"Grid ops"," "))))</f>
        <v>Queue wait</v>
      </c>
      <c r="C11" s="44">
        <f>IF(A11&lt;=Inputs!$B$21,"",A11-Inputs!$B$21-1)</f>
        <v>3</v>
      </c>
      <c r="D11" s="56">
        <f>IF(OR(A11&lt;=Inputs!$B$21,A11&gt;Inputs!$B$21+Configurations!$B$15),0,Configurations!$B$4*Configurations!$B$5*8760*(1-Configurations!$B$6)^C11*Configurations!$B$7*(1-Configurations!$B$8))</f>
        <v>226744.48547375624</v>
      </c>
      <c r="E11" s="55">
        <f ca="1">IF(OR(A11&lt;=Inputs!$B$21,A11&gt;Inputs!$B$21+Configurations!$B$15),0,IF(A11&lt;=Inputs!$B$21+Inputs!$B$5,D11*(1-Inputs!$B$10)*Configurations!$B$16/1000000,D11*Inputs!$B$18/1000000))</f>
        <v>27.21924235010157</v>
      </c>
      <c r="F11" s="55">
        <f ca="1">IF(OR(A11&lt;=Inputs!$B$21,A11&gt;Inputs!$B$21+Configurations!$B$15),0,Configurations!$B$12+Configurations!$B$13+Configurations!$B$14+Inputs!$B$20*E11)</f>
        <v>5.2462886352515232</v>
      </c>
      <c r="G11" s="55">
        <f t="shared" ca="1" si="0"/>
        <v>21.972953714850046</v>
      </c>
      <c r="H11" s="63">
        <f>IF(AND(A11&gt;Inputs!$B$21,A11&lt;=Inputs!$B$21+Inputs!$B$12),Capitalization!C$12,0)</f>
        <v>8.5084163362962943</v>
      </c>
      <c r="I11" s="55">
        <f t="shared" ca="1" si="1"/>
        <v>13.464537378553752</v>
      </c>
      <c r="J11" s="64">
        <f ca="1">IF(A11&lt;=Inputs!$B$21,"",IF(AND(A11&lt;=Inputs!$B$22,Capitalization!C$18&gt;0),Inputs!$B$25,Inputs!$B$26))</f>
        <v>0.7</v>
      </c>
      <c r="K11" s="55">
        <f ca="1">IF(A11=0,-Capitalization!C$19,IF(A11&lt;=Inputs!$B$21,0,I11*J11-IF(AND(A11=Inputs!$B$22,Capitalization!C$18&gt;0),Inputs!$B$23,0)))</f>
        <v>8.4251761649876258</v>
      </c>
      <c r="L11" s="65">
        <f t="shared" ca="1" si="2"/>
        <v>2.5824963008821045</v>
      </c>
      <c r="M11" s="55">
        <f ca="1">IF(A11=0,-Capitalization!C$4,IF(A11&lt;=Inputs!$B$21,0,G11))</f>
        <v>21.972953714850046</v>
      </c>
    </row>
    <row r="12" spans="1:13" ht="15" customHeight="1" x14ac:dyDescent="0.2">
      <c r="A12" s="44">
        <v>7</v>
      </c>
      <c r="B12" s="44" t="str">
        <f>IF(A12=0,"Equity",IF(A12&lt;=Inputs!$B$21,"Construction",IF(A12&lt;=Inputs!$B$21+Inputs!$B$5,"Queue wait",IF(A12&lt;=Inputs!$B$21+Configurations!$B$15,"Grid ops"," "))))</f>
        <v>Grid ops</v>
      </c>
      <c r="C12" s="44">
        <f>IF(A12&lt;=Inputs!$B$21,"",A12-Inputs!$B$21-1)</f>
        <v>4</v>
      </c>
      <c r="D12" s="56">
        <f>IF(OR(A12&lt;=Inputs!$B$21,A12&gt;Inputs!$B$21+Configurations!$B$15),0,Configurations!$B$4*Configurations!$B$5*8760*(1-Configurations!$B$6)^C12*Configurations!$B$7*(1-Configurations!$B$8))</f>
        <v>225610.76304638752</v>
      </c>
      <c r="E12" s="55">
        <f>IF(OR(A12&lt;=Inputs!$B$21,A12&gt;Inputs!$B$21+Configurations!$B$15),0,IF(A12&lt;=Inputs!$B$21+Inputs!$B$5,D12*(1-Inputs!$B$10)*Configurations!$B$16/1000000,D12*Inputs!$B$18/1000000))</f>
        <v>16.243974939339903</v>
      </c>
      <c r="F12" s="55">
        <f>IF(OR(A12&lt;=Inputs!$B$21,A12&gt;Inputs!$B$21+Configurations!$B$15),0,Configurations!$B$12+Configurations!$B$13+Configurations!$B$14+Inputs!$B$20*E12)</f>
        <v>5.0816596240900989</v>
      </c>
      <c r="G12" s="55">
        <f t="shared" si="0"/>
        <v>11.162315315249804</v>
      </c>
      <c r="H12" s="63">
        <f>IF(AND(A12&gt;Inputs!$B$21,A12&lt;=Inputs!$B$21+Inputs!$B$12),Capitalization!C$12,0)</f>
        <v>8.5084163362962943</v>
      </c>
      <c r="I12" s="55">
        <f t="shared" si="1"/>
        <v>2.6538989789535101</v>
      </c>
      <c r="J12" s="64">
        <f ca="1">IF(A12&lt;=Inputs!$B$21,"",IF(AND(A12&lt;=Inputs!$B$22,Capitalization!C$18&gt;0),Inputs!$B$25,Inputs!$B$26))</f>
        <v>0.97499999999999998</v>
      </c>
      <c r="K12" s="55">
        <f ca="1">IF(A12=0,-Capitalization!C$19,IF(A12&lt;=Inputs!$B$21,0,I12*J12-IF(AND(A12=Inputs!$B$22,Capitalization!C$18&gt;0),Inputs!$B$23,0)))</f>
        <v>2.5875515044796722</v>
      </c>
      <c r="L12" s="65">
        <f t="shared" si="2"/>
        <v>1.3119145648329604</v>
      </c>
      <c r="M12" s="55">
        <f>IF(A12=0,-Capitalization!C$4,IF(A12&lt;=Inputs!$B$21,0,G12))</f>
        <v>11.162315315249804</v>
      </c>
    </row>
    <row r="13" spans="1:13" ht="15" customHeight="1" x14ac:dyDescent="0.2">
      <c r="A13" s="44">
        <v>8</v>
      </c>
      <c r="B13" s="44" t="str">
        <f>IF(A13=0,"Equity",IF(A13&lt;=Inputs!$B$21,"Construction",IF(A13&lt;=Inputs!$B$21+Inputs!$B$5,"Queue wait",IF(A13&lt;=Inputs!$B$21+Configurations!$B$15,"Grid ops"," "))))</f>
        <v>Grid ops</v>
      </c>
      <c r="C13" s="44">
        <f>IF(A13&lt;=Inputs!$B$21,"",A13-Inputs!$B$21-1)</f>
        <v>5</v>
      </c>
      <c r="D13" s="56">
        <f>IF(OR(A13&lt;=Inputs!$B$21,A13&gt;Inputs!$B$21+Configurations!$B$15),0,Configurations!$B$4*Configurations!$B$5*8760*(1-Configurations!$B$6)^C13*Configurations!$B$7*(1-Configurations!$B$8))</f>
        <v>224482.70923115558</v>
      </c>
      <c r="E13" s="55">
        <f>IF(OR(A13&lt;=Inputs!$B$21,A13&gt;Inputs!$B$21+Configurations!$B$15),0,IF(A13&lt;=Inputs!$B$21+Inputs!$B$5,D13*(1-Inputs!$B$10)*Configurations!$B$16/1000000,D13*Inputs!$B$18/1000000))</f>
        <v>16.1627550646432</v>
      </c>
      <c r="F13" s="55">
        <f>IF(OR(A13&lt;=Inputs!$B$21,A13&gt;Inputs!$B$21+Configurations!$B$15),0,Configurations!$B$12+Configurations!$B$13+Configurations!$B$14+Inputs!$B$20*E13)</f>
        <v>5.0804413259696481</v>
      </c>
      <c r="G13" s="55">
        <f t="shared" si="0"/>
        <v>11.082313738673552</v>
      </c>
      <c r="H13" s="63">
        <f>IF(AND(A13&gt;Inputs!$B$21,A13&lt;=Inputs!$B$21+Inputs!$B$12),Capitalization!C$12,0)</f>
        <v>8.5084163362962943</v>
      </c>
      <c r="I13" s="55">
        <f t="shared" si="1"/>
        <v>2.5738974023772574</v>
      </c>
      <c r="J13" s="64">
        <f ca="1">IF(A13&lt;=Inputs!$B$21,"",IF(AND(A13&lt;=Inputs!$B$22,Capitalization!C$18&gt;0),Inputs!$B$25,Inputs!$B$26))</f>
        <v>0.97499999999999998</v>
      </c>
      <c r="K13" s="55">
        <f ca="1">IF(A13=0,-Capitalization!C$19,IF(A13&lt;=Inputs!$B$21,0,I13*J13-IF(AND(A13=Inputs!$B$22,Capitalization!C$18&gt;0),Inputs!$B$23,0)))</f>
        <v>2.5095499673178261</v>
      </c>
      <c r="L13" s="65">
        <f t="shared" si="2"/>
        <v>1.302511924739413</v>
      </c>
      <c r="M13" s="55">
        <f>IF(A13=0,-Capitalization!C$4,IF(A13&lt;=Inputs!$B$21,0,G13))</f>
        <v>11.082313738673552</v>
      </c>
    </row>
    <row r="14" spans="1:13" ht="15" customHeight="1" x14ac:dyDescent="0.2">
      <c r="A14" s="44">
        <v>9</v>
      </c>
      <c r="B14" s="44" t="str">
        <f>IF(A14=0,"Equity",IF(A14&lt;=Inputs!$B$21,"Construction",IF(A14&lt;=Inputs!$B$21+Inputs!$B$5,"Queue wait",IF(A14&lt;=Inputs!$B$21+Configurations!$B$15,"Grid ops"," "))))</f>
        <v>Grid ops</v>
      </c>
      <c r="C14" s="44">
        <f>IF(A14&lt;=Inputs!$B$21,"",A14-Inputs!$B$21-1)</f>
        <v>6</v>
      </c>
      <c r="D14" s="56">
        <f>IF(OR(A14&lt;=Inputs!$B$21,A14&gt;Inputs!$B$21+Configurations!$B$15),0,Configurations!$B$4*Configurations!$B$5*8760*(1-Configurations!$B$6)^C14*Configurations!$B$7*(1-Configurations!$B$8))</f>
        <v>223360.29568499979</v>
      </c>
      <c r="E14" s="55">
        <f>IF(OR(A14&lt;=Inputs!$B$21,A14&gt;Inputs!$B$21+Configurations!$B$15),0,IF(A14&lt;=Inputs!$B$21+Inputs!$B$5,D14*(1-Inputs!$B$10)*Configurations!$B$16/1000000,D14*Inputs!$B$18/1000000))</f>
        <v>16.081941289319985</v>
      </c>
      <c r="F14" s="55">
        <f>IF(OR(A14&lt;=Inputs!$B$21,A14&gt;Inputs!$B$21+Configurations!$B$15),0,Configurations!$B$12+Configurations!$B$13+Configurations!$B$14+Inputs!$B$20*E14)</f>
        <v>5.0792291193398</v>
      </c>
      <c r="G14" s="55">
        <f t="shared" si="0"/>
        <v>11.002712169980185</v>
      </c>
      <c r="H14" s="63">
        <f>IF(AND(A14&gt;Inputs!$B$21,A14&lt;=Inputs!$B$21+Inputs!$B$12),Capitalization!C$12,0)</f>
        <v>8.5084163362962943</v>
      </c>
      <c r="I14" s="55">
        <f t="shared" si="1"/>
        <v>2.494295833683891</v>
      </c>
      <c r="J14" s="64">
        <f ca="1">IF(A14&lt;=Inputs!$B$21,"",IF(AND(A14&lt;=Inputs!$B$22,Capitalization!C$18&gt;0),Inputs!$B$25,Inputs!$B$26))</f>
        <v>0.97499999999999998</v>
      </c>
      <c r="K14" s="55">
        <f ca="1">IF(A14=0,-Capitalization!C$19,IF(A14&lt;=Inputs!$B$21,0,I14*J14-IF(AND(A14=Inputs!$B$22,Capitalization!C$18&gt;0),Inputs!$B$23,0)))</f>
        <v>2.4319384378417936</v>
      </c>
      <c r="L14" s="65">
        <f t="shared" si="2"/>
        <v>1.293156297846334</v>
      </c>
      <c r="M14" s="55">
        <f>IF(A14=0,-Capitalization!C$4,IF(A14&lt;=Inputs!$B$21,0,G14))</f>
        <v>11.002712169980185</v>
      </c>
    </row>
    <row r="15" spans="1:13" ht="15" customHeight="1" x14ac:dyDescent="0.2">
      <c r="A15" s="44">
        <v>10</v>
      </c>
      <c r="B15" s="44" t="str">
        <f>IF(A15=0,"Equity",IF(A15&lt;=Inputs!$B$21,"Construction",IF(A15&lt;=Inputs!$B$21+Inputs!$B$5,"Queue wait",IF(A15&lt;=Inputs!$B$21+Configurations!$B$15,"Grid ops"," "))))</f>
        <v>Grid ops</v>
      </c>
      <c r="C15" s="44">
        <f>IF(A15&lt;=Inputs!$B$21,"",A15-Inputs!$B$21-1)</f>
        <v>7</v>
      </c>
      <c r="D15" s="56">
        <f>IF(OR(A15&lt;=Inputs!$B$21,A15&gt;Inputs!$B$21+Configurations!$B$15),0,Configurations!$B$4*Configurations!$B$5*8760*(1-Configurations!$B$6)^C15*Configurations!$B$7*(1-Configurations!$B$8))</f>
        <v>222243.49420657477</v>
      </c>
      <c r="E15" s="55">
        <f>IF(OR(A15&lt;=Inputs!$B$21,A15&gt;Inputs!$B$21+Configurations!$B$15),0,IF(A15&lt;=Inputs!$B$21+Inputs!$B$5,D15*(1-Inputs!$B$10)*Configurations!$B$16/1000000,D15*Inputs!$B$18/1000000))</f>
        <v>16.001531582873383</v>
      </c>
      <c r="F15" s="55">
        <f>IF(OR(A15&lt;=Inputs!$B$21,A15&gt;Inputs!$B$21+Configurations!$B$15),0,Configurations!$B$12+Configurations!$B$13+Configurations!$B$14+Inputs!$B$20*E15)</f>
        <v>5.0780229737431011</v>
      </c>
      <c r="G15" s="55">
        <f t="shared" si="0"/>
        <v>10.923508609130282</v>
      </c>
      <c r="H15" s="63">
        <f>IF(AND(A15&gt;Inputs!$B$21,A15&lt;=Inputs!$B$21+Inputs!$B$12),Capitalization!C$12,0)</f>
        <v>8.5084163362962943</v>
      </c>
      <c r="I15" s="55">
        <f t="shared" si="1"/>
        <v>2.4150922728339879</v>
      </c>
      <c r="J15" s="64">
        <f ca="1">IF(A15&lt;=Inputs!$B$21,"",IF(AND(A15&lt;=Inputs!$B$22,Capitalization!C$18&gt;0),Inputs!$B$25,Inputs!$B$26))</f>
        <v>0.97499999999999998</v>
      </c>
      <c r="K15" s="55">
        <f ca="1">IF(A15=0,-Capitalization!C$19,IF(A15&lt;=Inputs!$B$21,0,I15*J15-IF(AND(A15=Inputs!$B$22,Capitalization!C$18&gt;0),Inputs!$B$23,0)))</f>
        <v>2.3547149660131379</v>
      </c>
      <c r="L15" s="65">
        <f t="shared" si="2"/>
        <v>1.2838474490877201</v>
      </c>
      <c r="M15" s="55">
        <f>IF(A15=0,-Capitalization!C$4,IF(A15&lt;=Inputs!$B$21,0,G15))</f>
        <v>10.923508609130282</v>
      </c>
    </row>
    <row r="16" spans="1:13" ht="15" customHeight="1" x14ac:dyDescent="0.2">
      <c r="A16" s="44">
        <v>11</v>
      </c>
      <c r="B16" s="44" t="str">
        <f>IF(A16=0,"Equity",IF(A16&lt;=Inputs!$B$21,"Construction",IF(A16&lt;=Inputs!$B$21+Inputs!$B$5,"Queue wait",IF(A16&lt;=Inputs!$B$21+Configurations!$B$15,"Grid ops"," "))))</f>
        <v>Grid ops</v>
      </c>
      <c r="C16" s="44">
        <f>IF(A16&lt;=Inputs!$B$21,"",A16-Inputs!$B$21-1)</f>
        <v>8</v>
      </c>
      <c r="D16" s="56">
        <f>IF(OR(A16&lt;=Inputs!$B$21,A16&gt;Inputs!$B$21+Configurations!$B$15),0,Configurations!$B$4*Configurations!$B$5*8760*(1-Configurations!$B$6)^C16*Configurations!$B$7*(1-Configurations!$B$8))</f>
        <v>221132.27673554191</v>
      </c>
      <c r="E16" s="55">
        <f>IF(OR(A16&lt;=Inputs!$B$21,A16&gt;Inputs!$B$21+Configurations!$B$15),0,IF(A16&lt;=Inputs!$B$21+Inputs!$B$5,D16*(1-Inputs!$B$10)*Configurations!$B$16/1000000,D16*Inputs!$B$18/1000000))</f>
        <v>15.921523924959017</v>
      </c>
      <c r="F16" s="55">
        <f>IF(OR(A16&lt;=Inputs!$B$21,A16&gt;Inputs!$B$21+Configurations!$B$15),0,Configurations!$B$12+Configurations!$B$13+Configurations!$B$14+Inputs!$B$20*E16)</f>
        <v>5.0768228588743849</v>
      </c>
      <c r="G16" s="55">
        <f t="shared" si="0"/>
        <v>10.844701066084632</v>
      </c>
      <c r="H16" s="63">
        <f>IF(AND(A16&gt;Inputs!$B$21,A16&lt;=Inputs!$B$21+Inputs!$B$12),Capitalization!C$12,0)</f>
        <v>8.5084163362962943</v>
      </c>
      <c r="I16" s="55">
        <f t="shared" si="1"/>
        <v>2.3362847297883373</v>
      </c>
      <c r="J16" s="64">
        <f ca="1">IF(A16&lt;=Inputs!$B$21,"",IF(AND(A16&lt;=Inputs!$B$22,Capitalization!C$18&gt;0),Inputs!$B$25,Inputs!$B$26))</f>
        <v>0.97499999999999998</v>
      </c>
      <c r="K16" s="55">
        <f ca="1">IF(A16=0,-Capitalization!C$19,IF(A16&lt;=Inputs!$B$21,0,I16*J16-IF(AND(A16=Inputs!$B$22,Capitalization!C$18&gt;0),Inputs!$B$23,0)))</f>
        <v>2.2778776115436288</v>
      </c>
      <c r="L16" s="65">
        <f t="shared" si="2"/>
        <v>1.2745851445728995</v>
      </c>
      <c r="M16" s="55">
        <f>IF(A16=0,-Capitalization!C$4,IF(A16&lt;=Inputs!$B$21,0,G16))</f>
        <v>10.844701066084632</v>
      </c>
    </row>
    <row r="17" spans="1:13" ht="15" customHeight="1" x14ac:dyDescent="0.2">
      <c r="A17" s="44">
        <v>12</v>
      </c>
      <c r="B17" s="44" t="str">
        <f>IF(A17=0,"Equity",IF(A17&lt;=Inputs!$B$21,"Construction",IF(A17&lt;=Inputs!$B$21+Inputs!$B$5,"Queue wait",IF(A17&lt;=Inputs!$B$21+Configurations!$B$15,"Grid ops"," "))))</f>
        <v>Grid ops</v>
      </c>
      <c r="C17" s="44">
        <f>IF(A17&lt;=Inputs!$B$21,"",A17-Inputs!$B$21-1)</f>
        <v>9</v>
      </c>
      <c r="D17" s="56">
        <f>IF(OR(A17&lt;=Inputs!$B$21,A17&gt;Inputs!$B$21+Configurations!$B$15),0,Configurations!$B$4*Configurations!$B$5*8760*(1-Configurations!$B$6)^C17*Configurations!$B$7*(1-Configurations!$B$8))</f>
        <v>220026.61535186417</v>
      </c>
      <c r="E17" s="55">
        <f>IF(OR(A17&lt;=Inputs!$B$21,A17&gt;Inputs!$B$21+Configurations!$B$15),0,IF(A17&lt;=Inputs!$B$21+Inputs!$B$5,D17*(1-Inputs!$B$10)*Configurations!$B$16/1000000,D17*Inputs!$B$18/1000000))</f>
        <v>15.84191630533422</v>
      </c>
      <c r="F17" s="55">
        <f>IF(OR(A17&lt;=Inputs!$B$21,A17&gt;Inputs!$B$21+Configurations!$B$15),0,Configurations!$B$12+Configurations!$B$13+Configurations!$B$14+Inputs!$B$20*E17)</f>
        <v>5.0756287445800137</v>
      </c>
      <c r="G17" s="55">
        <f t="shared" si="0"/>
        <v>10.766287560754206</v>
      </c>
      <c r="H17" s="63">
        <f>IF(AND(A17&gt;Inputs!$B$21,A17&lt;=Inputs!$B$21+Inputs!$B$12),Capitalization!C$12,0)</f>
        <v>8.5084163362962943</v>
      </c>
      <c r="I17" s="55">
        <f t="shared" si="1"/>
        <v>2.2578712244579116</v>
      </c>
      <c r="J17" s="64">
        <f ca="1">IF(A17&lt;=Inputs!$B$21,"",IF(AND(A17&lt;=Inputs!$B$22,Capitalization!C$18&gt;0),Inputs!$B$25,Inputs!$B$26))</f>
        <v>0.97499999999999998</v>
      </c>
      <c r="K17" s="55">
        <f ca="1">IF(A17=0,-Capitalization!C$19,IF(A17&lt;=Inputs!$B$21,0,I17*J17-IF(AND(A17=Inputs!$B$22,Capitalization!C$18&gt;0),Inputs!$B$23,0)))</f>
        <v>2.2014244438464639</v>
      </c>
      <c r="L17" s="65">
        <f t="shared" si="2"/>
        <v>1.2653691515806524</v>
      </c>
      <c r="M17" s="55">
        <f>IF(A17=0,-Capitalization!C$4,IF(A17&lt;=Inputs!$B$21,0,G17))</f>
        <v>10.766287560754206</v>
      </c>
    </row>
    <row r="18" spans="1:13" ht="15" customHeight="1" x14ac:dyDescent="0.2">
      <c r="A18" s="44">
        <v>13</v>
      </c>
      <c r="B18" s="44" t="str">
        <f>IF(A18=0,"Equity",IF(A18&lt;=Inputs!$B$21,"Construction",IF(A18&lt;=Inputs!$B$21+Inputs!$B$5,"Queue wait",IF(A18&lt;=Inputs!$B$21+Configurations!$B$15,"Grid ops"," "))))</f>
        <v>Grid ops</v>
      </c>
      <c r="C18" s="44">
        <f>IF(A18&lt;=Inputs!$B$21,"",A18-Inputs!$B$21-1)</f>
        <v>10</v>
      </c>
      <c r="D18" s="56">
        <f>IF(OR(A18&lt;=Inputs!$B$21,A18&gt;Inputs!$B$21+Configurations!$B$15),0,Configurations!$B$4*Configurations!$B$5*8760*(1-Configurations!$B$6)^C18*Configurations!$B$7*(1-Configurations!$B$8))</f>
        <v>218926.48227510488</v>
      </c>
      <c r="E18" s="55">
        <f>IF(OR(A18&lt;=Inputs!$B$21,A18&gt;Inputs!$B$21+Configurations!$B$15),0,IF(A18&lt;=Inputs!$B$21+Inputs!$B$5,D18*(1-Inputs!$B$10)*Configurations!$B$16/1000000,D18*Inputs!$B$18/1000000))</f>
        <v>15.76270672380755</v>
      </c>
      <c r="F18" s="55">
        <f>IF(OR(A18&lt;=Inputs!$B$21,A18&gt;Inputs!$B$21+Configurations!$B$15),0,Configurations!$B$12+Configurations!$B$13+Configurations!$B$14+Inputs!$B$20*E18)</f>
        <v>5.0744406008571135</v>
      </c>
      <c r="G18" s="55">
        <f t="shared" si="0"/>
        <v>10.688266122950438</v>
      </c>
      <c r="H18" s="63">
        <f>IF(AND(A18&gt;Inputs!$B$21,A18&lt;=Inputs!$B$21+Inputs!$B$12),Capitalization!C$12,0)</f>
        <v>8.5084163362962943</v>
      </c>
      <c r="I18" s="55">
        <f t="shared" si="1"/>
        <v>2.1798497866541435</v>
      </c>
      <c r="J18" s="64">
        <f ca="1">IF(A18&lt;=Inputs!$B$21,"",IF(AND(A18&lt;=Inputs!$B$22,Capitalization!C$18&gt;0),Inputs!$B$25,Inputs!$B$26))</f>
        <v>0.97499999999999998</v>
      </c>
      <c r="K18" s="55">
        <f ca="1">IF(A18=0,-Capitalization!C$19,IF(A18&lt;=Inputs!$B$21,0,I18*J18-IF(AND(A18=Inputs!$B$22,Capitalization!C$18&gt;0),Inputs!$B$23,0)))</f>
        <v>2.1253535419877898</v>
      </c>
      <c r="L18" s="65">
        <f t="shared" si="2"/>
        <v>1.2561992385533676</v>
      </c>
      <c r="M18" s="55">
        <f>IF(A18=0,-Capitalization!C$4,IF(A18&lt;=Inputs!$B$21,0,G18))</f>
        <v>10.688266122950438</v>
      </c>
    </row>
    <row r="19" spans="1:13" ht="15" customHeight="1" x14ac:dyDescent="0.2">
      <c r="A19" s="44">
        <v>14</v>
      </c>
      <c r="B19" s="44" t="str">
        <f>IF(A19=0,"Equity",IF(A19&lt;=Inputs!$B$21,"Construction",IF(A19&lt;=Inputs!$B$21+Inputs!$B$5,"Queue wait",IF(A19&lt;=Inputs!$B$21+Configurations!$B$15,"Grid ops"," "))))</f>
        <v>Grid ops</v>
      </c>
      <c r="C19" s="44">
        <f>IF(A19&lt;=Inputs!$B$21,"",A19-Inputs!$B$21-1)</f>
        <v>11</v>
      </c>
      <c r="D19" s="56">
        <f>IF(OR(A19&lt;=Inputs!$B$21,A19&gt;Inputs!$B$21+Configurations!$B$15),0,Configurations!$B$4*Configurations!$B$5*8760*(1-Configurations!$B$6)^C19*Configurations!$B$7*(1-Configurations!$B$8))</f>
        <v>217831.84986372935</v>
      </c>
      <c r="E19" s="55">
        <f>IF(OR(A19&lt;=Inputs!$B$21,A19&gt;Inputs!$B$21+Configurations!$B$15),0,IF(A19&lt;=Inputs!$B$21+Inputs!$B$5,D19*(1-Inputs!$B$10)*Configurations!$B$16/1000000,D19*Inputs!$B$18/1000000))</f>
        <v>15.683893190188513</v>
      </c>
      <c r="F19" s="55">
        <f>IF(OR(A19&lt;=Inputs!$B$21,A19&gt;Inputs!$B$21+Configurations!$B$15),0,Configurations!$B$12+Configurations!$B$13+Configurations!$B$14+Inputs!$B$20*E19)</f>
        <v>5.0732583978528281</v>
      </c>
      <c r="G19" s="55">
        <f t="shared" si="0"/>
        <v>10.610634792335684</v>
      </c>
      <c r="H19" s="63">
        <f>IF(AND(A19&gt;Inputs!$B$21,A19&lt;=Inputs!$B$21+Inputs!$B$12),Capitalization!C$12,0)</f>
        <v>8.5084163362962943</v>
      </c>
      <c r="I19" s="55">
        <f t="shared" si="1"/>
        <v>2.1022184560393899</v>
      </c>
      <c r="J19" s="64">
        <f ca="1">IF(A19&lt;=Inputs!$B$21,"",IF(AND(A19&lt;=Inputs!$B$22,Capitalization!C$18&gt;0),Inputs!$B$25,Inputs!$B$26))</f>
        <v>0.97499999999999998</v>
      </c>
      <c r="K19" s="55">
        <f ca="1">IF(A19=0,-Capitalization!C$19,IF(A19&lt;=Inputs!$B$21,0,I19*J19-IF(AND(A19=Inputs!$B$22,Capitalization!C$18&gt;0),Inputs!$B$23,0)))</f>
        <v>2.0496629946384051</v>
      </c>
      <c r="L19" s="65">
        <f t="shared" si="2"/>
        <v>1.2470751750912183</v>
      </c>
      <c r="M19" s="55">
        <f>IF(A19=0,-Capitalization!C$4,IF(A19&lt;=Inputs!$B$21,0,G19))</f>
        <v>10.610634792335684</v>
      </c>
    </row>
    <row r="20" spans="1:13" ht="15" customHeight="1" x14ac:dyDescent="0.2">
      <c r="A20" s="44">
        <v>15</v>
      </c>
      <c r="B20" s="44" t="str">
        <f>IF(A20=0,"Equity",IF(A20&lt;=Inputs!$B$21,"Construction",IF(A20&lt;=Inputs!$B$21+Inputs!$B$5,"Queue wait",IF(A20&lt;=Inputs!$B$21+Configurations!$B$15,"Grid ops"," "))))</f>
        <v>Grid ops</v>
      </c>
      <c r="C20" s="44">
        <f>IF(A20&lt;=Inputs!$B$21,"",A20-Inputs!$B$21-1)</f>
        <v>12</v>
      </c>
      <c r="D20" s="56">
        <f>IF(OR(A20&lt;=Inputs!$B$21,A20&gt;Inputs!$B$21+Configurations!$B$15),0,Configurations!$B$4*Configurations!$B$5*8760*(1-Configurations!$B$6)^C20*Configurations!$B$7*(1-Configurations!$B$8))</f>
        <v>216742.69061441073</v>
      </c>
      <c r="E20" s="55">
        <f>IF(OR(A20&lt;=Inputs!$B$21,A20&gt;Inputs!$B$21+Configurations!$B$15),0,IF(A20&lt;=Inputs!$B$21+Inputs!$B$5,D20*(1-Inputs!$B$10)*Configurations!$B$16/1000000,D20*Inputs!$B$18/1000000))</f>
        <v>15.605473724237573</v>
      </c>
      <c r="F20" s="55">
        <f>IF(OR(A20&lt;=Inputs!$B$21,A20&gt;Inputs!$B$21+Configurations!$B$15),0,Configurations!$B$12+Configurations!$B$13+Configurations!$B$14+Inputs!$B$20*E20)</f>
        <v>5.0720821058635632</v>
      </c>
      <c r="G20" s="55">
        <f t="shared" si="0"/>
        <v>10.53339161837401</v>
      </c>
      <c r="H20" s="63">
        <f>IF(AND(A20&gt;Inputs!$B$21,A20&lt;=Inputs!$B$21+Inputs!$B$12),Capitalization!C$12,0)</f>
        <v>8.5084163362962943</v>
      </c>
      <c r="I20" s="55">
        <f t="shared" si="1"/>
        <v>2.0249752820777154</v>
      </c>
      <c r="J20" s="64">
        <f ca="1">IF(A20&lt;=Inputs!$B$21,"",IF(AND(A20&lt;=Inputs!$B$22,Capitalization!C$18&gt;0),Inputs!$B$25,Inputs!$B$26))</f>
        <v>0.97499999999999998</v>
      </c>
      <c r="K20" s="55">
        <f ca="1">IF(A20=0,-Capitalization!C$19,IF(A20&lt;=Inputs!$B$21,0,I20*J20-IF(AND(A20=Inputs!$B$22,Capitalization!C$18&gt;0),Inputs!$B$23,0)))</f>
        <v>1.9743509000257724</v>
      </c>
      <c r="L20" s="65">
        <f t="shared" si="2"/>
        <v>1.2379967319463807</v>
      </c>
      <c r="M20" s="55">
        <f>IF(A20=0,-Capitalization!C$4,IF(A20&lt;=Inputs!$B$21,0,G20))</f>
        <v>10.53339161837401</v>
      </c>
    </row>
    <row r="21" spans="1:13" ht="15" customHeight="1" x14ac:dyDescent="0.2">
      <c r="A21" s="44">
        <v>16</v>
      </c>
      <c r="B21" s="44" t="str">
        <f>IF(A21=0,"Equity",IF(A21&lt;=Inputs!$B$21,"Construction",IF(A21&lt;=Inputs!$B$21+Inputs!$B$5,"Queue wait",IF(A21&lt;=Inputs!$B$21+Configurations!$B$15,"Grid ops"," "))))</f>
        <v>Grid ops</v>
      </c>
      <c r="C21" s="44">
        <f>IF(A21&lt;=Inputs!$B$21,"",A21-Inputs!$B$21-1)</f>
        <v>13</v>
      </c>
      <c r="D21" s="56">
        <f>IF(OR(A21&lt;=Inputs!$B$21,A21&gt;Inputs!$B$21+Configurations!$B$15),0,Configurations!$B$4*Configurations!$B$5*8760*(1-Configurations!$B$6)^C21*Configurations!$B$7*(1-Configurations!$B$8))</f>
        <v>215658.97716133867</v>
      </c>
      <c r="E21" s="55">
        <f>IF(OR(A21&lt;=Inputs!$B$21,A21&gt;Inputs!$B$21+Configurations!$B$15),0,IF(A21&lt;=Inputs!$B$21+Inputs!$B$5,D21*(1-Inputs!$B$10)*Configurations!$B$16/1000000,D21*Inputs!$B$18/1000000))</f>
        <v>15.527446355616384</v>
      </c>
      <c r="F21" s="55">
        <f>IF(OR(A21&lt;=Inputs!$B$21,A21&gt;Inputs!$B$21+Configurations!$B$15),0,Configurations!$B$12+Configurations!$B$13+Configurations!$B$14+Inputs!$B$20*E21)</f>
        <v>5.0709116953342459</v>
      </c>
      <c r="G21" s="55">
        <f t="shared" si="0"/>
        <v>10.456534660282138</v>
      </c>
      <c r="H21" s="63">
        <f>IF(AND(A21&gt;Inputs!$B$21,A21&lt;=Inputs!$B$21+Inputs!$B$12),Capitalization!C$12,0)</f>
        <v>8.5084163362962943</v>
      </c>
      <c r="I21" s="55">
        <f t="shared" si="1"/>
        <v>1.9481183239858435</v>
      </c>
      <c r="J21" s="64">
        <f ca="1">IF(A21&lt;=Inputs!$B$21,"",IF(AND(A21&lt;=Inputs!$B$22,Capitalization!C$18&gt;0),Inputs!$B$25,Inputs!$B$26))</f>
        <v>0.97499999999999998</v>
      </c>
      <c r="K21" s="55">
        <f ca="1">IF(A21=0,-Capitalization!C$19,IF(A21&lt;=Inputs!$B$21,0,I21*J21-IF(AND(A21=Inputs!$B$22,Capitalization!C$18&gt;0),Inputs!$B$23,0)))</f>
        <v>1.8994153658861974</v>
      </c>
      <c r="L21" s="65">
        <f t="shared" si="2"/>
        <v>1.2289636810172664</v>
      </c>
      <c r="M21" s="55">
        <f>IF(A21=0,-Capitalization!C$4,IF(A21&lt;=Inputs!$B$21,0,G21))</f>
        <v>10.456534660282138</v>
      </c>
    </row>
    <row r="22" spans="1:13" ht="15" customHeight="1" x14ac:dyDescent="0.2">
      <c r="A22" s="44">
        <v>17</v>
      </c>
      <c r="B22" s="44" t="str">
        <f>IF(A22=0,"Equity",IF(A22&lt;=Inputs!$B$21,"Construction",IF(A22&lt;=Inputs!$B$21+Inputs!$B$5,"Queue wait",IF(A22&lt;=Inputs!$B$21+Configurations!$B$15,"Grid ops"," "))))</f>
        <v>Grid ops</v>
      </c>
      <c r="C22" s="44">
        <f>IF(A22&lt;=Inputs!$B$21,"",A22-Inputs!$B$21-1)</f>
        <v>14</v>
      </c>
      <c r="D22" s="56">
        <f>IF(OR(A22&lt;=Inputs!$B$21,A22&gt;Inputs!$B$21+Configurations!$B$15),0,Configurations!$B$4*Configurations!$B$5*8760*(1-Configurations!$B$6)^C22*Configurations!$B$7*(1-Configurations!$B$8))</f>
        <v>214580.68227553199</v>
      </c>
      <c r="E22" s="55">
        <f>IF(OR(A22&lt;=Inputs!$B$21,A22&gt;Inputs!$B$21+Configurations!$B$15),0,IF(A22&lt;=Inputs!$B$21+Inputs!$B$5,D22*(1-Inputs!$B$10)*Configurations!$B$16/1000000,D22*Inputs!$B$18/1000000))</f>
        <v>15.449809123838303</v>
      </c>
      <c r="F22" s="55">
        <f>IF(OR(A22&lt;=Inputs!$B$21,A22&gt;Inputs!$B$21+Configurations!$B$15),0,Configurations!$B$12+Configurations!$B$13+Configurations!$B$14+Inputs!$B$20*E22)</f>
        <v>5.0697471368575746</v>
      </c>
      <c r="G22" s="55">
        <f t="shared" si="0"/>
        <v>10.380061986980728</v>
      </c>
      <c r="H22" s="63">
        <f>IF(AND(A22&gt;Inputs!$B$21,A22&lt;=Inputs!$B$21+Inputs!$B$12),Capitalization!C$12,0)</f>
        <v>8.5084163362962943</v>
      </c>
      <c r="I22" s="55">
        <f t="shared" si="1"/>
        <v>1.8716456506844334</v>
      </c>
      <c r="J22" s="64">
        <f ca="1">IF(A22&lt;=Inputs!$B$21,"",IF(AND(A22&lt;=Inputs!$B$22,Capitalization!C$18&gt;0),Inputs!$B$25,Inputs!$B$26))</f>
        <v>0.97499999999999998</v>
      </c>
      <c r="K22" s="55">
        <f ca="1">IF(A22=0,-Capitalization!C$19,IF(A22&lt;=Inputs!$B$21,0,I22*J22-IF(AND(A22=Inputs!$B$22,Capitalization!C$18&gt;0),Inputs!$B$23,0)))</f>
        <v>1.8248545094173225</v>
      </c>
      <c r="L22" s="65">
        <f t="shared" si="2"/>
        <v>1.2199757953427981</v>
      </c>
      <c r="M22" s="55">
        <f>IF(A22=0,-Capitalization!C$4,IF(A22&lt;=Inputs!$B$21,0,G22))</f>
        <v>10.380061986980728</v>
      </c>
    </row>
    <row r="23" spans="1:13" ht="15" customHeight="1" x14ac:dyDescent="0.2">
      <c r="A23" s="44">
        <v>18</v>
      </c>
      <c r="B23" s="44" t="str">
        <f>IF(A23=0,"Equity",IF(A23&lt;=Inputs!$B$21,"Construction",IF(A23&lt;=Inputs!$B$21+Inputs!$B$5,"Queue wait",IF(A23&lt;=Inputs!$B$21+Configurations!$B$15,"Grid ops"," "))))</f>
        <v>Grid ops</v>
      </c>
      <c r="C23" s="44">
        <f>IF(A23&lt;=Inputs!$B$21,"",A23-Inputs!$B$21-1)</f>
        <v>15</v>
      </c>
      <c r="D23" s="56">
        <f>IF(OR(A23&lt;=Inputs!$B$21,A23&gt;Inputs!$B$21+Configurations!$B$15),0,Configurations!$B$4*Configurations!$B$5*8760*(1-Configurations!$B$6)^C23*Configurations!$B$7*(1-Configurations!$B$8))</f>
        <v>213507.7788641543</v>
      </c>
      <c r="E23" s="55">
        <f>IF(OR(A23&lt;=Inputs!$B$21,A23&gt;Inputs!$B$21+Configurations!$B$15),0,IF(A23&lt;=Inputs!$B$21+Inputs!$B$5,D23*(1-Inputs!$B$10)*Configurations!$B$16/1000000,D23*Inputs!$B$18/1000000))</f>
        <v>15.372560078219109</v>
      </c>
      <c r="F23" s="55">
        <f>IF(OR(A23&lt;=Inputs!$B$21,A23&gt;Inputs!$B$21+Configurations!$B$15),0,Configurations!$B$12+Configurations!$B$13+Configurations!$B$14+Inputs!$B$20*E23)</f>
        <v>5.0685884011732867</v>
      </c>
      <c r="G23" s="55">
        <f t="shared" si="0"/>
        <v>10.303971677045823</v>
      </c>
      <c r="H23" s="63">
        <f>IF(AND(A23&gt;Inputs!$B$21,A23&lt;=Inputs!$B$21+Inputs!$B$12),Capitalization!C$12,0)</f>
        <v>8.5084163362962943</v>
      </c>
      <c r="I23" s="55">
        <f t="shared" si="1"/>
        <v>1.7955553407495284</v>
      </c>
      <c r="J23" s="64">
        <f ca="1">IF(A23&lt;=Inputs!$B$21,"",IF(AND(A23&lt;=Inputs!$B$22,Capitalization!C$18&gt;0),Inputs!$B$25,Inputs!$B$26))</f>
        <v>0.97499999999999998</v>
      </c>
      <c r="K23" s="55">
        <f ca="1">IF(A23=0,-Capitalization!C$19,IF(A23&lt;=Inputs!$B$21,0,I23*J23-IF(AND(A23=Inputs!$B$22,Capitalization!C$18&gt;0),Inputs!$B$23,0)))</f>
        <v>1.7506664572307902</v>
      </c>
      <c r="L23" s="65">
        <f t="shared" si="2"/>
        <v>1.2110328490967017</v>
      </c>
      <c r="M23" s="55">
        <f>IF(A23=0,-Capitalization!C$4,IF(A23&lt;=Inputs!$B$21,0,G23))</f>
        <v>10.303971677045823</v>
      </c>
    </row>
    <row r="24" spans="1:13" ht="15" customHeight="1" x14ac:dyDescent="0.2">
      <c r="A24" s="44">
        <v>19</v>
      </c>
      <c r="B24" s="44" t="str">
        <f>IF(A24=0,"Equity",IF(A24&lt;=Inputs!$B$21,"Construction",IF(A24&lt;=Inputs!$B$21+Inputs!$B$5,"Queue wait",IF(A24&lt;=Inputs!$B$21+Configurations!$B$15,"Grid ops"," "))))</f>
        <v>Grid ops</v>
      </c>
      <c r="C24" s="44">
        <f>IF(A24&lt;=Inputs!$B$21,"",A24-Inputs!$B$21-1)</f>
        <v>16</v>
      </c>
      <c r="D24" s="56">
        <f>IF(OR(A24&lt;=Inputs!$B$21,A24&gt;Inputs!$B$21+Configurations!$B$15),0,Configurations!$B$4*Configurations!$B$5*8760*(1-Configurations!$B$6)^C24*Configurations!$B$7*(1-Configurations!$B$8))</f>
        <v>212440.23996983355</v>
      </c>
      <c r="E24" s="55">
        <f>IF(OR(A24&lt;=Inputs!$B$21,A24&gt;Inputs!$B$21+Configurations!$B$15),0,IF(A24&lt;=Inputs!$B$21+Inputs!$B$5,D24*(1-Inputs!$B$10)*Configurations!$B$16/1000000,D24*Inputs!$B$18/1000000))</f>
        <v>15.295697277828015</v>
      </c>
      <c r="F24" s="55">
        <f>IF(OR(A24&lt;=Inputs!$B$21,A24&gt;Inputs!$B$21+Configurations!$B$15),0,Configurations!$B$12+Configurations!$B$13+Configurations!$B$14+Inputs!$B$20*E24)</f>
        <v>5.0674354591674202</v>
      </c>
      <c r="G24" s="55">
        <f t="shared" si="0"/>
        <v>10.228261818660595</v>
      </c>
      <c r="H24" s="63">
        <f>IF(AND(A24&gt;Inputs!$B$21,A24&lt;=Inputs!$B$21+Inputs!$B$12),Capitalization!C$12,0)</f>
        <v>8.5084163362962943</v>
      </c>
      <c r="I24" s="55">
        <f t="shared" si="1"/>
        <v>1.7198454823643008</v>
      </c>
      <c r="J24" s="64">
        <f ca="1">IF(A24&lt;=Inputs!$B$21,"",IF(AND(A24&lt;=Inputs!$B$22,Capitalization!C$18&gt;0),Inputs!$B$25,Inputs!$B$26))</f>
        <v>0.97499999999999998</v>
      </c>
      <c r="K24" s="55">
        <f ca="1">IF(A24=0,-Capitalization!C$19,IF(A24&lt;=Inputs!$B$21,0,I24*J24-IF(AND(A24=Inputs!$B$22,Capitalization!C$18&gt;0),Inputs!$B$23,0)))</f>
        <v>1.6768493453051931</v>
      </c>
      <c r="L24" s="65">
        <f t="shared" si="2"/>
        <v>1.2021346175818364</v>
      </c>
      <c r="M24" s="55">
        <f>IF(A24=0,-Capitalization!C$4,IF(A24&lt;=Inputs!$B$21,0,G24))</f>
        <v>10.228261818660595</v>
      </c>
    </row>
    <row r="25" spans="1:13" ht="15" customHeight="1" x14ac:dyDescent="0.2">
      <c r="A25" s="44">
        <v>20</v>
      </c>
      <c r="B25" s="44" t="str">
        <f>IF(A25=0,"Equity",IF(A25&lt;=Inputs!$B$21,"Construction",IF(A25&lt;=Inputs!$B$21+Inputs!$B$5,"Queue wait",IF(A25&lt;=Inputs!$B$21+Configurations!$B$15,"Grid ops"," "))))</f>
        <v>Grid ops</v>
      </c>
      <c r="C25" s="44">
        <f>IF(A25&lt;=Inputs!$B$21,"",A25-Inputs!$B$21-1)</f>
        <v>17</v>
      </c>
      <c r="D25" s="56">
        <f>IF(OR(A25&lt;=Inputs!$B$21,A25&gt;Inputs!$B$21+Configurations!$B$15),0,Configurations!$B$4*Configurations!$B$5*8760*(1-Configurations!$B$6)^C25*Configurations!$B$7*(1-Configurations!$B$8))</f>
        <v>211378.03876998438</v>
      </c>
      <c r="E25" s="55">
        <f>IF(OR(A25&lt;=Inputs!$B$21,A25&gt;Inputs!$B$21+Configurations!$B$15),0,IF(A25&lt;=Inputs!$B$21+Inputs!$B$5,D25*(1-Inputs!$B$10)*Configurations!$B$16/1000000,D25*Inputs!$B$18/1000000))</f>
        <v>15.219218791438875</v>
      </c>
      <c r="F25" s="55">
        <f>IF(OR(A25&lt;=Inputs!$B$21,A25&gt;Inputs!$B$21+Configurations!$B$15),0,Configurations!$B$12+Configurations!$B$13+Configurations!$B$14+Inputs!$B$20*E25)</f>
        <v>5.0662882818715831</v>
      </c>
      <c r="G25" s="55">
        <f t="shared" si="0"/>
        <v>10.152930509567291</v>
      </c>
      <c r="H25" s="63">
        <f>IF(AND(A25&gt;Inputs!$B$21,A25&lt;=Inputs!$B$21+Inputs!$B$12),Capitalization!C$12,0)</f>
        <v>8.5084163362962943</v>
      </c>
      <c r="I25" s="55">
        <f t="shared" si="1"/>
        <v>1.6445141732709967</v>
      </c>
      <c r="J25" s="64">
        <f ca="1">IF(A25&lt;=Inputs!$B$21,"",IF(AND(A25&lt;=Inputs!$B$22,Capitalization!C$18&gt;0),Inputs!$B$25,Inputs!$B$26))</f>
        <v>0.97499999999999998</v>
      </c>
      <c r="K25" s="55">
        <f ca="1">IF(A25=0,-Capitalization!C$19,IF(A25&lt;=Inputs!$B$21,0,I25*J25-IF(AND(A25=Inputs!$B$22,Capitalization!C$18&gt;0),Inputs!$B$23,0)))</f>
        <v>1.6034013189392218</v>
      </c>
      <c r="L25" s="65">
        <f t="shared" si="2"/>
        <v>1.1932808772245449</v>
      </c>
      <c r="M25" s="55">
        <f>IF(A25=0,-Capitalization!C$4,IF(A25&lt;=Inputs!$B$21,0,G25))</f>
        <v>10.152930509567291</v>
      </c>
    </row>
    <row r="26" spans="1:13" ht="15" customHeight="1" x14ac:dyDescent="0.2">
      <c r="A26" s="44">
        <v>21</v>
      </c>
      <c r="B26" s="44" t="str">
        <f>IF(A26=0,"Equity",IF(A26&lt;=Inputs!$B$21,"Construction",IF(A26&lt;=Inputs!$B$21+Inputs!$B$5,"Queue wait",IF(A26&lt;=Inputs!$B$21+Configurations!$B$15,"Grid ops"," "))))</f>
        <v>Grid ops</v>
      </c>
      <c r="C26" s="44">
        <f>IF(A26&lt;=Inputs!$B$21,"",A26-Inputs!$B$21-1)</f>
        <v>18</v>
      </c>
      <c r="D26" s="56">
        <f>IF(OR(A26&lt;=Inputs!$B$21,A26&gt;Inputs!$B$21+Configurations!$B$15),0,Configurations!$B$4*Configurations!$B$5*8760*(1-Configurations!$B$6)^C26*Configurations!$B$7*(1-Configurations!$B$8))</f>
        <v>210321.14857613447</v>
      </c>
      <c r="E26" s="55">
        <f>IF(OR(A26&lt;=Inputs!$B$21,A26&gt;Inputs!$B$21+Configurations!$B$15),0,IF(A26&lt;=Inputs!$B$21+Inputs!$B$5,D26*(1-Inputs!$B$10)*Configurations!$B$16/1000000,D26*Inputs!$B$18/1000000))</f>
        <v>15.143122697481681</v>
      </c>
      <c r="F26" s="55">
        <f>IF(OR(A26&lt;=Inputs!$B$21,A26&gt;Inputs!$B$21+Configurations!$B$15),0,Configurations!$B$12+Configurations!$B$13+Configurations!$B$14+Inputs!$B$20*E26)</f>
        <v>5.0651468404622255</v>
      </c>
      <c r="G26" s="55">
        <f t="shared" si="0"/>
        <v>10.077975857019457</v>
      </c>
      <c r="H26" s="63">
        <f>IF(AND(A26&gt;Inputs!$B$21,A26&lt;=Inputs!$B$21+Inputs!$B$12),Capitalization!C$12,0)</f>
        <v>8.5084163362962943</v>
      </c>
      <c r="I26" s="55">
        <f t="shared" si="1"/>
        <v>1.5695595207231623</v>
      </c>
      <c r="J26" s="64">
        <f ca="1">IF(A26&lt;=Inputs!$B$21,"",IF(AND(A26&lt;=Inputs!$B$22,Capitalization!C$18&gt;0),Inputs!$B$25,Inputs!$B$26))</f>
        <v>0.97499999999999998</v>
      </c>
      <c r="K26" s="55">
        <f ca="1">IF(A26=0,-Capitalization!C$19,IF(A26&lt;=Inputs!$B$21,0,I26*J26-IF(AND(A26=Inputs!$B$22,Capitalization!C$18&gt;0),Inputs!$B$23,0)))</f>
        <v>1.5303205327050833</v>
      </c>
      <c r="L26" s="65">
        <f t="shared" si="2"/>
        <v>1.1844714055690404</v>
      </c>
      <c r="M26" s="55">
        <f>IF(A26=0,-Capitalization!C$4,IF(A26&lt;=Inputs!$B$21,0,G26))</f>
        <v>10.077975857019457</v>
      </c>
    </row>
    <row r="27" spans="1:13" ht="15" customHeight="1" x14ac:dyDescent="0.2">
      <c r="A27" s="44">
        <v>22</v>
      </c>
      <c r="B27" s="44" t="str">
        <f>IF(A27=0,"Equity",IF(A27&lt;=Inputs!$B$21,"Construction",IF(A27&lt;=Inputs!$B$21+Inputs!$B$5,"Queue wait",IF(A27&lt;=Inputs!$B$21+Configurations!$B$15,"Grid ops"," "))))</f>
        <v>Grid ops</v>
      </c>
      <c r="C27" s="44">
        <f>IF(A27&lt;=Inputs!$B$21,"",A27-Inputs!$B$21-1)</f>
        <v>19</v>
      </c>
      <c r="D27" s="56">
        <f>IF(OR(A27&lt;=Inputs!$B$21,A27&gt;Inputs!$B$21+Configurations!$B$15),0,Configurations!$B$4*Configurations!$B$5*8760*(1-Configurations!$B$6)^C27*Configurations!$B$7*(1-Configurations!$B$8))</f>
        <v>209269.54283325377</v>
      </c>
      <c r="E27" s="55">
        <f>IF(OR(A27&lt;=Inputs!$B$21,A27&gt;Inputs!$B$21+Configurations!$B$15),0,IF(A27&lt;=Inputs!$B$21+Inputs!$B$5,D27*(1-Inputs!$B$10)*Configurations!$B$16/1000000,D27*Inputs!$B$18/1000000))</f>
        <v>15.06740708399427</v>
      </c>
      <c r="F27" s="55">
        <f>IF(OR(A27&lt;=Inputs!$B$21,A27&gt;Inputs!$B$21+Configurations!$B$15),0,Configurations!$B$12+Configurations!$B$13+Configurations!$B$14+Inputs!$B$20*E27)</f>
        <v>5.0640111062599145</v>
      </c>
      <c r="G27" s="55">
        <f t="shared" si="0"/>
        <v>10.003395977734357</v>
      </c>
      <c r="H27" s="63">
        <f>IF(AND(A27&gt;Inputs!$B$21,A27&lt;=Inputs!$B$21+Inputs!$B$12),Capitalization!C$12,0)</f>
        <v>8.5084163362962943</v>
      </c>
      <c r="I27" s="55">
        <f t="shared" si="1"/>
        <v>1.4949796414380625</v>
      </c>
      <c r="J27" s="64">
        <f ca="1">IF(A27&lt;=Inputs!$B$21,"",IF(AND(A27&lt;=Inputs!$B$22,Capitalization!C$18&gt;0),Inputs!$B$25,Inputs!$B$26))</f>
        <v>0.97499999999999998</v>
      </c>
      <c r="K27" s="55">
        <f ca="1">IF(A27=0,-Capitalization!C$19,IF(A27&lt;=Inputs!$B$21,0,I27*J27-IF(AND(A27=Inputs!$B$22,Capitalization!C$18&gt;0),Inputs!$B$23,0)))</f>
        <v>1.4576051504021108</v>
      </c>
      <c r="L27" s="65">
        <f t="shared" si="2"/>
        <v>1.1757059812718127</v>
      </c>
      <c r="M27" s="55">
        <f>IF(A27=0,-Capitalization!C$4,IF(A27&lt;=Inputs!$B$21,0,G27))</f>
        <v>10.003395977734357</v>
      </c>
    </row>
    <row r="28" spans="1:13" ht="15" customHeight="1" x14ac:dyDescent="0.2">
      <c r="A28" s="44">
        <v>23</v>
      </c>
      <c r="B28" s="44" t="str">
        <f>IF(A28=0,"Equity",IF(A28&lt;=Inputs!$B$21,"Construction",IF(A28&lt;=Inputs!$B$21+Inputs!$B$5,"Queue wait",IF(A28&lt;=Inputs!$B$21+Configurations!$B$15,"Grid ops"," "))))</f>
        <v>Grid ops</v>
      </c>
      <c r="C28" s="44">
        <f>IF(A28&lt;=Inputs!$B$21,"",A28-Inputs!$B$21-1)</f>
        <v>20</v>
      </c>
      <c r="D28" s="56">
        <f>IF(OR(A28&lt;=Inputs!$B$21,A28&gt;Inputs!$B$21+Configurations!$B$15),0,Configurations!$B$4*Configurations!$B$5*8760*(1-Configurations!$B$6)^C28*Configurations!$B$7*(1-Configurations!$B$8))</f>
        <v>208223.19511908753</v>
      </c>
      <c r="E28" s="55">
        <f>IF(OR(A28&lt;=Inputs!$B$21,A28&gt;Inputs!$B$21+Configurations!$B$15),0,IF(A28&lt;=Inputs!$B$21+Inputs!$B$5,D28*(1-Inputs!$B$10)*Configurations!$B$16/1000000,D28*Inputs!$B$18/1000000))</f>
        <v>14.992070048574302</v>
      </c>
      <c r="F28" s="55">
        <f>IF(OR(A28&lt;=Inputs!$B$21,A28&gt;Inputs!$B$21+Configurations!$B$15),0,Configurations!$B$12+Configurations!$B$13+Configurations!$B$14+Inputs!$B$20*E28)</f>
        <v>5.0628810507286151</v>
      </c>
      <c r="G28" s="55">
        <f t="shared" si="0"/>
        <v>9.9291889978456869</v>
      </c>
      <c r="H28" s="63">
        <f>IF(AND(A28&gt;Inputs!$B$21,A28&lt;=Inputs!$B$21+Inputs!$B$12),Capitalization!C$12,0)</f>
        <v>0</v>
      </c>
      <c r="I28" s="55">
        <f t="shared" si="1"/>
        <v>9.9291889978456869</v>
      </c>
      <c r="J28" s="64">
        <f ca="1">IF(A28&lt;=Inputs!$B$21,"",IF(AND(A28&lt;=Inputs!$B$22,Capitalization!C$18&gt;0),Inputs!$B$25,Inputs!$B$26))</f>
        <v>0.97499999999999998</v>
      </c>
      <c r="K28" s="55">
        <f ca="1">IF(A28=0,-Capitalization!C$19,IF(A28&lt;=Inputs!$B$21,0,I28*J28-IF(AND(A28=Inputs!$B$22,Capitalization!C$18&gt;0),Inputs!$B$23,0)))</f>
        <v>9.6809592728995444</v>
      </c>
      <c r="L28" s="65" t="str">
        <f t="shared" si="2"/>
        <v/>
      </c>
      <c r="M28" s="55">
        <f>IF(A28=0,-Capitalization!C$4,IF(A28&lt;=Inputs!$B$21,0,G28))</f>
        <v>9.9291889978456869</v>
      </c>
    </row>
    <row r="29" spans="1:13" ht="15" customHeight="1" x14ac:dyDescent="0.2">
      <c r="A29" s="44">
        <v>24</v>
      </c>
      <c r="B29" s="44" t="str">
        <f>IF(A29=0,"Equity",IF(A29&lt;=Inputs!$B$21,"Construction",IF(A29&lt;=Inputs!$B$21+Inputs!$B$5,"Queue wait",IF(A29&lt;=Inputs!$B$21+Configurations!$B$15,"Grid ops"," "))))</f>
        <v>Grid ops</v>
      </c>
      <c r="C29" s="44">
        <f>IF(A29&lt;=Inputs!$B$21,"",A29-Inputs!$B$21-1)</f>
        <v>21</v>
      </c>
      <c r="D29" s="56">
        <f>IF(OR(A29&lt;=Inputs!$B$21,A29&gt;Inputs!$B$21+Configurations!$B$15),0,Configurations!$B$4*Configurations!$B$5*8760*(1-Configurations!$B$6)^C29*Configurations!$B$7*(1-Configurations!$B$8))</f>
        <v>207182.0791434921</v>
      </c>
      <c r="E29" s="55">
        <f>IF(OR(A29&lt;=Inputs!$B$21,A29&gt;Inputs!$B$21+Configurations!$B$15),0,IF(A29&lt;=Inputs!$B$21+Inputs!$B$5,D29*(1-Inputs!$B$10)*Configurations!$B$16/1000000,D29*Inputs!$B$18/1000000))</f>
        <v>14.91710969833143</v>
      </c>
      <c r="F29" s="55">
        <f>IF(OR(A29&lt;=Inputs!$B$21,A29&gt;Inputs!$B$21+Configurations!$B$15),0,Configurations!$B$12+Configurations!$B$13+Configurations!$B$14+Inputs!$B$20*E29)</f>
        <v>5.0617566454749712</v>
      </c>
      <c r="G29" s="55">
        <f t="shared" si="0"/>
        <v>9.8553530528564579</v>
      </c>
      <c r="H29" s="63">
        <f>IF(AND(A29&gt;Inputs!$B$21,A29&lt;=Inputs!$B$21+Inputs!$B$12),Capitalization!C$12,0)</f>
        <v>0</v>
      </c>
      <c r="I29" s="55">
        <f t="shared" si="1"/>
        <v>9.8553530528564579</v>
      </c>
      <c r="J29" s="64">
        <f ca="1">IF(A29&lt;=Inputs!$B$21,"",IF(AND(A29&lt;=Inputs!$B$22,Capitalization!C$18&gt;0),Inputs!$B$25,Inputs!$B$26))</f>
        <v>0.97499999999999998</v>
      </c>
      <c r="K29" s="55">
        <f ca="1">IF(A29=0,-Capitalization!C$19,IF(A29&lt;=Inputs!$B$21,0,I29*J29-IF(AND(A29=Inputs!$B$22,Capitalization!C$18&gt;0),Inputs!$B$23,0)))</f>
        <v>9.6089692265350468</v>
      </c>
      <c r="L29" s="65" t="str">
        <f t="shared" si="2"/>
        <v/>
      </c>
      <c r="M29" s="55">
        <f>IF(A29=0,-Capitalization!C$4,IF(A29&lt;=Inputs!$B$21,0,G29))</f>
        <v>9.8553530528564579</v>
      </c>
    </row>
    <row r="30" spans="1:13" ht="15" customHeight="1" x14ac:dyDescent="0.2">
      <c r="A30" s="44">
        <v>25</v>
      </c>
      <c r="B30" s="44" t="str">
        <f>IF(A30=0,"Equity",IF(A30&lt;=Inputs!$B$21,"Construction",IF(A30&lt;=Inputs!$B$21+Inputs!$B$5,"Queue wait",IF(A30&lt;=Inputs!$B$21+Configurations!$B$15,"Grid ops"," "))))</f>
        <v>Grid ops</v>
      </c>
      <c r="C30" s="44">
        <f>IF(A30&lt;=Inputs!$B$21,"",A30-Inputs!$B$21-1)</f>
        <v>22</v>
      </c>
      <c r="D30" s="56">
        <f>IF(OR(A30&lt;=Inputs!$B$21,A30&gt;Inputs!$B$21+Configurations!$B$15),0,Configurations!$B$4*Configurations!$B$5*8760*(1-Configurations!$B$6)^C30*Configurations!$B$7*(1-Configurations!$B$8))</f>
        <v>206146.16874777465</v>
      </c>
      <c r="E30" s="55">
        <f>IF(OR(A30&lt;=Inputs!$B$21,A30&gt;Inputs!$B$21+Configurations!$B$15),0,IF(A30&lt;=Inputs!$B$21+Inputs!$B$5,D30*(1-Inputs!$B$10)*Configurations!$B$16/1000000,D30*Inputs!$B$18/1000000))</f>
        <v>14.842524149839774</v>
      </c>
      <c r="F30" s="55">
        <f>IF(OR(A30&lt;=Inputs!$B$21,A30&gt;Inputs!$B$21+Configurations!$B$15),0,Configurations!$B$12+Configurations!$B$13+Configurations!$B$14+Inputs!$B$20*E30)</f>
        <v>5.0606378622475967</v>
      </c>
      <c r="G30" s="55">
        <f t="shared" si="0"/>
        <v>9.7818862875921759</v>
      </c>
      <c r="H30" s="63">
        <f>IF(AND(A30&gt;Inputs!$B$21,A30&lt;=Inputs!$B$21+Inputs!$B$12),Capitalization!C$12,0)</f>
        <v>0</v>
      </c>
      <c r="I30" s="55">
        <f t="shared" si="1"/>
        <v>9.7818862875921759</v>
      </c>
      <c r="J30" s="64">
        <f ca="1">IF(A30&lt;=Inputs!$B$21,"",IF(AND(A30&lt;=Inputs!$B$22,Capitalization!C$18&gt;0),Inputs!$B$25,Inputs!$B$26))</f>
        <v>0.97499999999999998</v>
      </c>
      <c r="K30" s="55">
        <f ca="1">IF(A30=0,-Capitalization!C$19,IF(A30&lt;=Inputs!$B$21,0,I30*J30-IF(AND(A30=Inputs!$B$22,Capitalization!C$18&gt;0),Inputs!$B$23,0)))</f>
        <v>9.5373391304023709</v>
      </c>
      <c r="L30" s="65" t="str">
        <f t="shared" si="2"/>
        <v/>
      </c>
      <c r="M30" s="55">
        <f>IF(A30=0,-Capitalization!C$4,IF(A30&lt;=Inputs!$B$21,0,G30))</f>
        <v>9.7818862875921759</v>
      </c>
    </row>
    <row r="31" spans="1:13" ht="15" customHeight="1" x14ac:dyDescent="0.2">
      <c r="A31" s="44">
        <v>26</v>
      </c>
      <c r="B31" s="44" t="str">
        <f>IF(A31=0,"Equity",IF(A31&lt;=Inputs!$B$21,"Construction",IF(A31&lt;=Inputs!$B$21+Inputs!$B$5,"Queue wait",IF(A31&lt;=Inputs!$B$21+Configurations!$B$15,"Grid ops"," "))))</f>
        <v>Grid ops</v>
      </c>
      <c r="C31" s="44">
        <f>IF(A31&lt;=Inputs!$B$21,"",A31-Inputs!$B$21-1)</f>
        <v>23</v>
      </c>
      <c r="D31" s="56">
        <f>IF(OR(A31&lt;=Inputs!$B$21,A31&gt;Inputs!$B$21+Configurations!$B$15),0,Configurations!$B$4*Configurations!$B$5*8760*(1-Configurations!$B$6)^C31*Configurations!$B$7*(1-Configurations!$B$8))</f>
        <v>205115.43790403576</v>
      </c>
      <c r="E31" s="55">
        <f>IF(OR(A31&lt;=Inputs!$B$21,A31&gt;Inputs!$B$21+Configurations!$B$15),0,IF(A31&lt;=Inputs!$B$21+Inputs!$B$5,D31*(1-Inputs!$B$10)*Configurations!$B$16/1000000,D31*Inputs!$B$18/1000000))</f>
        <v>14.768311529090575</v>
      </c>
      <c r="F31" s="55">
        <f>IF(OR(A31&lt;=Inputs!$B$21,A31&gt;Inputs!$B$21+Configurations!$B$15),0,Configurations!$B$12+Configurations!$B$13+Configurations!$B$14+Inputs!$B$20*E31)</f>
        <v>5.0595246729363588</v>
      </c>
      <c r="G31" s="55">
        <f t="shared" si="0"/>
        <v>9.7087868561542159</v>
      </c>
      <c r="H31" s="63">
        <f>IF(AND(A31&gt;Inputs!$B$21,A31&lt;=Inputs!$B$21+Inputs!$B$12),Capitalization!C$12,0)</f>
        <v>0</v>
      </c>
      <c r="I31" s="55">
        <f t="shared" si="1"/>
        <v>9.7087868561542159</v>
      </c>
      <c r="J31" s="64">
        <f ca="1">IF(A31&lt;=Inputs!$B$21,"",IF(AND(A31&lt;=Inputs!$B$22,Capitalization!C$18&gt;0),Inputs!$B$25,Inputs!$B$26))</f>
        <v>0.97499999999999998</v>
      </c>
      <c r="K31" s="55">
        <f ca="1">IF(A31=0,-Capitalization!C$19,IF(A31&lt;=Inputs!$B$21,0,I31*J31-IF(AND(A31=Inputs!$B$22,Capitalization!C$18&gt;0),Inputs!$B$23,0)))</f>
        <v>9.4660671847503597</v>
      </c>
      <c r="L31" s="65" t="str">
        <f t="shared" si="2"/>
        <v/>
      </c>
      <c r="M31" s="55">
        <f>IF(A31=0,-Capitalization!C$4,IF(A31&lt;=Inputs!$B$21,0,G31))</f>
        <v>9.7087868561542159</v>
      </c>
    </row>
    <row r="32" spans="1:13" ht="15" customHeight="1" x14ac:dyDescent="0.2">
      <c r="A32" s="44">
        <v>27</v>
      </c>
      <c r="B32" s="44" t="str">
        <f>IF(A32=0,"Equity",IF(A32&lt;=Inputs!$B$21,"Construction",IF(A32&lt;=Inputs!$B$21+Inputs!$B$5,"Queue wait",IF(A32&lt;=Inputs!$B$21+Configurations!$B$15,"Grid ops"," "))))</f>
        <v>Grid ops</v>
      </c>
      <c r="C32" s="44">
        <f>IF(A32&lt;=Inputs!$B$21,"",A32-Inputs!$B$21-1)</f>
        <v>24</v>
      </c>
      <c r="D32" s="56">
        <f>IF(OR(A32&lt;=Inputs!$B$21,A32&gt;Inputs!$B$21+Configurations!$B$15),0,Configurations!$B$4*Configurations!$B$5*8760*(1-Configurations!$B$6)^C32*Configurations!$B$7*(1-Configurations!$B$8))</f>
        <v>204089.86071451555</v>
      </c>
      <c r="E32" s="55">
        <f>IF(OR(A32&lt;=Inputs!$B$21,A32&gt;Inputs!$B$21+Configurations!$B$15),0,IF(A32&lt;=Inputs!$B$21+Inputs!$B$5,D32*(1-Inputs!$B$10)*Configurations!$B$16/1000000,D32*Inputs!$B$18/1000000))</f>
        <v>14.694469971445121</v>
      </c>
      <c r="F32" s="55">
        <f>IF(OR(A32&lt;=Inputs!$B$21,A32&gt;Inputs!$B$21+Configurations!$B$15),0,Configurations!$B$12+Configurations!$B$13+Configurations!$B$14+Inputs!$B$20*E32)</f>
        <v>5.0584170495716769</v>
      </c>
      <c r="G32" s="55">
        <f t="shared" si="0"/>
        <v>9.6360529218734445</v>
      </c>
      <c r="H32" s="63">
        <f>IF(AND(A32&gt;Inputs!$B$21,A32&lt;=Inputs!$B$21+Inputs!$B$12),Capitalization!C$12,0)</f>
        <v>0</v>
      </c>
      <c r="I32" s="55">
        <f t="shared" si="1"/>
        <v>9.6360529218734445</v>
      </c>
      <c r="J32" s="64">
        <f ca="1">IF(A32&lt;=Inputs!$B$21,"",IF(AND(A32&lt;=Inputs!$B$22,Capitalization!C$18&gt;0),Inputs!$B$25,Inputs!$B$26))</f>
        <v>0.97499999999999998</v>
      </c>
      <c r="K32" s="55">
        <f ca="1">IF(A32=0,-Capitalization!C$19,IF(A32&lt;=Inputs!$B$21,0,I32*J32-IF(AND(A32=Inputs!$B$22,Capitalization!C$18&gt;0),Inputs!$B$23,0)))</f>
        <v>9.3951515988266081</v>
      </c>
      <c r="L32" s="65" t="str">
        <f t="shared" si="2"/>
        <v/>
      </c>
      <c r="M32" s="55">
        <f>IF(A32=0,-Capitalization!C$4,IF(A32&lt;=Inputs!$B$21,0,G32))</f>
        <v>9.6360529218734445</v>
      </c>
    </row>
    <row r="33" spans="1:13" ht="15" customHeight="1" x14ac:dyDescent="0.2">
      <c r="A33" s="44">
        <v>28</v>
      </c>
      <c r="B33" s="44" t="str">
        <f>IF(A33=0,"Equity",IF(A33&lt;=Inputs!$B$21,"Construction",IF(A33&lt;=Inputs!$B$21+Inputs!$B$5,"Queue wait",IF(A33&lt;=Inputs!$B$21+Configurations!$B$15,"Grid ops"," "))))</f>
        <v xml:space="preserve"> </v>
      </c>
      <c r="C33" s="44">
        <f>IF(A33&lt;=Inputs!$B$21,"",A33-Inputs!$B$21-1)</f>
        <v>25</v>
      </c>
      <c r="D33" s="56">
        <f>IF(OR(A33&lt;=Inputs!$B$21,A33&gt;Inputs!$B$21+Configurations!$B$15),0,Configurations!$B$4*Configurations!$B$5*8760*(1-Configurations!$B$6)^C33*Configurations!$B$7*(1-Configurations!$B$8))</f>
        <v>0</v>
      </c>
      <c r="E33" s="55">
        <f>IF(OR(A33&lt;=Inputs!$B$21,A33&gt;Inputs!$B$21+Configurations!$B$15),0,IF(A33&lt;=Inputs!$B$21+Inputs!$B$5,D33*(1-Inputs!$B$10)*Configurations!$B$16/1000000,D33*Inputs!$B$18/1000000))</f>
        <v>0</v>
      </c>
      <c r="F33" s="55">
        <f>IF(OR(A33&lt;=Inputs!$B$21,A33&gt;Inputs!$B$21+Configurations!$B$15),0,Configurations!$B$12+Configurations!$B$13+Configurations!$B$14+Inputs!$B$20*E33)</f>
        <v>0</v>
      </c>
      <c r="G33" s="55">
        <f t="shared" si="0"/>
        <v>0</v>
      </c>
      <c r="H33" s="63">
        <f>IF(AND(A33&gt;Inputs!$B$21,A33&lt;=Inputs!$B$21+Inputs!$B$12),Capitalization!C$12,0)</f>
        <v>0</v>
      </c>
      <c r="I33" s="55">
        <f t="shared" si="1"/>
        <v>0</v>
      </c>
      <c r="J33" s="64">
        <f ca="1">IF(A33&lt;=Inputs!$B$21,"",IF(AND(A33&lt;=Inputs!$B$22,Capitalization!C$18&gt;0),Inputs!$B$25,Inputs!$B$26))</f>
        <v>0.97499999999999998</v>
      </c>
      <c r="K33" s="55">
        <f ca="1">IF(A33=0,-Capitalization!C$19,IF(A33&lt;=Inputs!$B$21,0,I33*J33-IF(AND(A33=Inputs!$B$22,Capitalization!C$18&gt;0),Inputs!$B$23,0)))</f>
        <v>0</v>
      </c>
      <c r="L33" s="65" t="str">
        <f t="shared" si="2"/>
        <v/>
      </c>
      <c r="M33" s="55">
        <f>IF(A33=0,-Capitalization!C$4,IF(A33&lt;=Inputs!$B$21,0,G33))</f>
        <v>0</v>
      </c>
    </row>
    <row r="34" spans="1:13" ht="15" customHeight="1" x14ac:dyDescent="0.2">
      <c r="A34" s="44">
        <v>29</v>
      </c>
      <c r="B34" s="44" t="str">
        <f>IF(A34=0,"Equity",IF(A34&lt;=Inputs!$B$21,"Construction",IF(A34&lt;=Inputs!$B$21+Inputs!$B$5,"Queue wait",IF(A34&lt;=Inputs!$B$21+Configurations!$B$15,"Grid ops"," "))))</f>
        <v xml:space="preserve"> </v>
      </c>
      <c r="C34" s="44">
        <f>IF(A34&lt;=Inputs!$B$21,"",A34-Inputs!$B$21-1)</f>
        <v>26</v>
      </c>
      <c r="D34" s="56">
        <f>IF(OR(A34&lt;=Inputs!$B$21,A34&gt;Inputs!$B$21+Configurations!$B$15),0,Configurations!$B$4*Configurations!$B$5*8760*(1-Configurations!$B$6)^C34*Configurations!$B$7*(1-Configurations!$B$8))</f>
        <v>0</v>
      </c>
      <c r="E34" s="55">
        <f>IF(OR(A34&lt;=Inputs!$B$21,A34&gt;Inputs!$B$21+Configurations!$B$15),0,IF(A34&lt;=Inputs!$B$21+Inputs!$B$5,D34*(1-Inputs!$B$10)*Configurations!$B$16/1000000,D34*Inputs!$B$18/1000000))</f>
        <v>0</v>
      </c>
      <c r="F34" s="55">
        <f>IF(OR(A34&lt;=Inputs!$B$21,A34&gt;Inputs!$B$21+Configurations!$B$15),0,Configurations!$B$12+Configurations!$B$13+Configurations!$B$14+Inputs!$B$20*E34)</f>
        <v>0</v>
      </c>
      <c r="G34" s="55">
        <f t="shared" si="0"/>
        <v>0</v>
      </c>
      <c r="H34" s="63">
        <f>IF(AND(A34&gt;Inputs!$B$21,A34&lt;=Inputs!$B$21+Inputs!$B$12),Capitalization!C$12,0)</f>
        <v>0</v>
      </c>
      <c r="I34" s="55">
        <f t="shared" si="1"/>
        <v>0</v>
      </c>
      <c r="J34" s="64">
        <f ca="1">IF(A34&lt;=Inputs!$B$21,"",IF(AND(A34&lt;=Inputs!$B$22,Capitalization!C$18&gt;0),Inputs!$B$25,Inputs!$B$26))</f>
        <v>0.97499999999999998</v>
      </c>
      <c r="K34" s="55">
        <f ca="1">IF(A34=0,-Capitalization!C$19,IF(A34&lt;=Inputs!$B$21,0,I34*J34-IF(AND(A34=Inputs!$B$22,Capitalization!C$18&gt;0),Inputs!$B$23,0)))</f>
        <v>0</v>
      </c>
      <c r="L34" s="65" t="str">
        <f t="shared" si="2"/>
        <v/>
      </c>
      <c r="M34" s="55">
        <f>IF(A34=0,-Capitalization!C$4,IF(A34&lt;=Inputs!$B$21,0,G34))</f>
        <v>0</v>
      </c>
    </row>
    <row r="35" spans="1:13" ht="15" customHeight="1" x14ac:dyDescent="0.2">
      <c r="A35" s="44">
        <v>30</v>
      </c>
      <c r="B35" s="44" t="str">
        <f>IF(A35=0,"Equity",IF(A35&lt;=Inputs!$B$21,"Construction",IF(A35&lt;=Inputs!$B$21+Inputs!$B$5,"Queue wait",IF(A35&lt;=Inputs!$B$21+Configurations!$B$15,"Grid ops"," "))))</f>
        <v xml:space="preserve"> </v>
      </c>
      <c r="C35" s="44">
        <f>IF(A35&lt;=Inputs!$B$21,"",A35-Inputs!$B$21-1)</f>
        <v>27</v>
      </c>
      <c r="D35" s="56">
        <f>IF(OR(A35&lt;=Inputs!$B$21,A35&gt;Inputs!$B$21+Configurations!$B$15),0,Configurations!$B$4*Configurations!$B$5*8760*(1-Configurations!$B$6)^C35*Configurations!$B$7*(1-Configurations!$B$8))</f>
        <v>0</v>
      </c>
      <c r="E35" s="55">
        <f>IF(OR(A35&lt;=Inputs!$B$21,A35&gt;Inputs!$B$21+Configurations!$B$15),0,IF(A35&lt;=Inputs!$B$21+Inputs!$B$5,D35*(1-Inputs!$B$10)*Configurations!$B$16/1000000,D35*Inputs!$B$18/1000000))</f>
        <v>0</v>
      </c>
      <c r="F35" s="55">
        <f>IF(OR(A35&lt;=Inputs!$B$21,A35&gt;Inputs!$B$21+Configurations!$B$15),0,Configurations!$B$12+Configurations!$B$13+Configurations!$B$14+Inputs!$B$20*E35)</f>
        <v>0</v>
      </c>
      <c r="G35" s="55">
        <f t="shared" si="0"/>
        <v>0</v>
      </c>
      <c r="H35" s="63">
        <f>IF(AND(A35&gt;Inputs!$B$21,A35&lt;=Inputs!$B$21+Inputs!$B$12),Capitalization!C$12,0)</f>
        <v>0</v>
      </c>
      <c r="I35" s="55">
        <f t="shared" si="1"/>
        <v>0</v>
      </c>
      <c r="J35" s="64">
        <f ca="1">IF(A35&lt;=Inputs!$B$21,"",IF(AND(A35&lt;=Inputs!$B$22,Capitalization!C$18&gt;0),Inputs!$B$25,Inputs!$B$26))</f>
        <v>0.97499999999999998</v>
      </c>
      <c r="K35" s="55">
        <f ca="1">IF(A35=0,-Capitalization!C$19,IF(A35&lt;=Inputs!$B$21,0,I35*J35-IF(AND(A35=Inputs!$B$22,Capitalization!C$18&gt;0),Inputs!$B$23,0)))</f>
        <v>0</v>
      </c>
      <c r="L35" s="65" t="str">
        <f t="shared" si="2"/>
        <v/>
      </c>
      <c r="M35" s="55">
        <f>IF(A35=0,-Capitalization!C$4,IF(A35&lt;=Inputs!$B$21,0,G35))</f>
        <v>0</v>
      </c>
    </row>
    <row r="36" spans="1:13" ht="15" customHeight="1" x14ac:dyDescent="0.2">
      <c r="A36" s="44">
        <v>31</v>
      </c>
      <c r="B36" s="44" t="str">
        <f>IF(A36=0,"Equity",IF(A36&lt;=Inputs!$B$21,"Construction",IF(A36&lt;=Inputs!$B$21+Inputs!$B$5,"Queue wait",IF(A36&lt;=Inputs!$B$21+Configurations!$B$15,"Grid ops"," "))))</f>
        <v xml:space="preserve"> </v>
      </c>
      <c r="C36" s="44">
        <f>IF(A36&lt;=Inputs!$B$21,"",A36-Inputs!$B$21-1)</f>
        <v>28</v>
      </c>
      <c r="D36" s="56">
        <f>IF(OR(A36&lt;=Inputs!$B$21,A36&gt;Inputs!$B$21+Configurations!$B$15),0,Configurations!$B$4*Configurations!$B$5*8760*(1-Configurations!$B$6)^C36*Configurations!$B$7*(1-Configurations!$B$8))</f>
        <v>0</v>
      </c>
      <c r="E36" s="55">
        <f>IF(OR(A36&lt;=Inputs!$B$21,A36&gt;Inputs!$B$21+Configurations!$B$15),0,IF(A36&lt;=Inputs!$B$21+Inputs!$B$5,D36*(1-Inputs!$B$10)*Configurations!$B$16/1000000,D36*Inputs!$B$18/1000000))</f>
        <v>0</v>
      </c>
      <c r="F36" s="55">
        <f>IF(OR(A36&lt;=Inputs!$B$21,A36&gt;Inputs!$B$21+Configurations!$B$15),0,Configurations!$B$12+Configurations!$B$13+Configurations!$B$14+Inputs!$B$20*E36)</f>
        <v>0</v>
      </c>
      <c r="G36" s="55">
        <f t="shared" si="0"/>
        <v>0</v>
      </c>
      <c r="H36" s="63">
        <f>IF(AND(A36&gt;Inputs!$B$21,A36&lt;=Inputs!$B$21+Inputs!$B$12),Capitalization!C$12,0)</f>
        <v>0</v>
      </c>
      <c r="I36" s="55">
        <f t="shared" si="1"/>
        <v>0</v>
      </c>
      <c r="J36" s="64">
        <f ca="1">IF(A36&lt;=Inputs!$B$21,"",IF(AND(A36&lt;=Inputs!$B$22,Capitalization!C$18&gt;0),Inputs!$B$25,Inputs!$B$26))</f>
        <v>0.97499999999999998</v>
      </c>
      <c r="K36" s="55">
        <f ca="1">IF(A36=0,-Capitalization!C$19,IF(A36&lt;=Inputs!$B$21,0,I36*J36-IF(AND(A36=Inputs!$B$22,Capitalization!C$18&gt;0),Inputs!$B$23,0)))</f>
        <v>0</v>
      </c>
      <c r="L36" s="65" t="str">
        <f t="shared" si="2"/>
        <v/>
      </c>
      <c r="M36" s="55">
        <f>IF(A36=0,-Capitalization!C$4,IF(A36&lt;=Inputs!$B$21,0,G36))</f>
        <v>0</v>
      </c>
    </row>
    <row r="37" spans="1:13" ht="15" customHeight="1" x14ac:dyDescent="0.2">
      <c r="A37" s="44">
        <v>32</v>
      </c>
      <c r="B37" s="44" t="str">
        <f>IF(A37=0,"Equity",IF(A37&lt;=Inputs!$B$21,"Construction",IF(A37&lt;=Inputs!$B$21+Inputs!$B$5,"Queue wait",IF(A37&lt;=Inputs!$B$21+Configurations!$B$15,"Grid ops"," "))))</f>
        <v xml:space="preserve"> </v>
      </c>
      <c r="C37" s="44">
        <f>IF(A37&lt;=Inputs!$B$21,"",A37-Inputs!$B$21-1)</f>
        <v>29</v>
      </c>
      <c r="D37" s="56">
        <f>IF(OR(A37&lt;=Inputs!$B$21,A37&gt;Inputs!$B$21+Configurations!$B$15),0,Configurations!$B$4*Configurations!$B$5*8760*(1-Configurations!$B$6)^C37*Configurations!$B$7*(1-Configurations!$B$8))</f>
        <v>0</v>
      </c>
      <c r="E37" s="55">
        <f>IF(OR(A37&lt;=Inputs!$B$21,A37&gt;Inputs!$B$21+Configurations!$B$15),0,IF(A37&lt;=Inputs!$B$21+Inputs!$B$5,D37*(1-Inputs!$B$10)*Configurations!$B$16/1000000,D37*Inputs!$B$18/1000000))</f>
        <v>0</v>
      </c>
      <c r="F37" s="55">
        <f>IF(OR(A37&lt;=Inputs!$B$21,A37&gt;Inputs!$B$21+Configurations!$B$15),0,Configurations!$B$12+Configurations!$B$13+Configurations!$B$14+Inputs!$B$20*E37)</f>
        <v>0</v>
      </c>
      <c r="G37" s="55">
        <f t="shared" si="0"/>
        <v>0</v>
      </c>
      <c r="H37" s="63">
        <f>IF(AND(A37&gt;Inputs!$B$21,A37&lt;=Inputs!$B$21+Inputs!$B$12),Capitalization!C$12,0)</f>
        <v>0</v>
      </c>
      <c r="I37" s="55">
        <f t="shared" si="1"/>
        <v>0</v>
      </c>
      <c r="J37" s="64">
        <f ca="1">IF(A37&lt;=Inputs!$B$21,"",IF(AND(A37&lt;=Inputs!$B$22,Capitalization!C$18&gt;0),Inputs!$B$25,Inputs!$B$26))</f>
        <v>0.97499999999999998</v>
      </c>
      <c r="K37" s="55">
        <f ca="1">IF(A37=0,-Capitalization!C$19,IF(A37&lt;=Inputs!$B$21,0,I37*J37-IF(AND(A37=Inputs!$B$22,Capitalization!C$18&gt;0),Inputs!$B$23,0)))</f>
        <v>0</v>
      </c>
      <c r="L37" s="65" t="str">
        <f t="shared" si="2"/>
        <v/>
      </c>
      <c r="M37" s="55">
        <f>IF(A37=0,-Capitalization!C$4,IF(A37&lt;=Inputs!$B$21,0,G37))</f>
        <v>0</v>
      </c>
    </row>
  </sheetData>
  <phoneticPr fontId="22" type="noConversion"/>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7"/>
  <sheetViews>
    <sheetView zoomScaleNormal="100" workbookViewId="0"/>
  </sheetViews>
  <sheetFormatPr baseColWidth="10" defaultColWidth="8.6640625" defaultRowHeight="15" x14ac:dyDescent="0.2"/>
  <cols>
    <col min="1" max="1" width="6" customWidth="1"/>
    <col min="2" max="2" width="12" customWidth="1"/>
    <col min="4" max="13" width="13" customWidth="1"/>
  </cols>
  <sheetData>
    <row r="1" spans="1:13" ht="15.75" customHeight="1" x14ac:dyDescent="0.2">
      <c r="A1" s="7" t="s">
        <v>398</v>
      </c>
    </row>
    <row r="2" spans="1:13" ht="15" customHeight="1" x14ac:dyDescent="0.2">
      <c r="A2" s="57" t="s">
        <v>382</v>
      </c>
      <c r="B2" s="59">
        <f ca="1">IRR(K5:K37)</f>
        <v>7.647168237086599E-2</v>
      </c>
      <c r="C2" s="57" t="s">
        <v>383</v>
      </c>
      <c r="D2" s="60">
        <f>IRR(M5:M37)</f>
        <v>2.0314679820966797E-2</v>
      </c>
      <c r="E2" s="57" t="s">
        <v>384</v>
      </c>
      <c r="F2" s="61">
        <f ca="1">K5+NPV(Inputs!$B$24,K6:K37)</f>
        <v>-2.4701197502487915</v>
      </c>
    </row>
    <row r="4" spans="1:13" ht="26.25" customHeight="1" x14ac:dyDescent="0.2">
      <c r="A4" s="62" t="s">
        <v>64</v>
      </c>
      <c r="B4" s="62" t="s">
        <v>385</v>
      </c>
      <c r="C4" s="62" t="s">
        <v>386</v>
      </c>
      <c r="D4" s="62" t="s">
        <v>387</v>
      </c>
      <c r="E4" s="62" t="s">
        <v>388</v>
      </c>
      <c r="F4" s="62" t="s">
        <v>389</v>
      </c>
      <c r="G4" s="62" t="s">
        <v>390</v>
      </c>
      <c r="H4" s="62" t="s">
        <v>391</v>
      </c>
      <c r="I4" s="62" t="s">
        <v>392</v>
      </c>
      <c r="J4" s="62" t="s">
        <v>393</v>
      </c>
      <c r="K4" s="62" t="s">
        <v>394</v>
      </c>
      <c r="L4" s="62" t="s">
        <v>395</v>
      </c>
      <c r="M4" s="62" t="s">
        <v>396</v>
      </c>
    </row>
    <row r="5" spans="1:13" ht="15" customHeight="1" x14ac:dyDescent="0.2">
      <c r="A5" s="44">
        <v>0</v>
      </c>
      <c r="B5" s="44" t="str">
        <f>IF(A5=0,"Equity",IF(A5&lt;=Inputs!$B$21,"Construction",IF(A5&lt;=Inputs!$B$21+Inputs!$B$5,"Queue wait",IF(A5&lt;=Inputs!$B$21+Configurations!$C$15,"Grid ops"," "))))</f>
        <v>Equity</v>
      </c>
      <c r="C5" s="44" t="str">
        <f>IF(A5&lt;=Inputs!$B$21,"",A5-Inputs!$B$21-1)</f>
        <v/>
      </c>
      <c r="D5" s="56">
        <f>IF(OR(A5&lt;=Inputs!$B$21,A5&gt;Inputs!$B$21+Configurations!$C$15),0,Configurations!$C$4*Configurations!$C$5*8760*(1-Configurations!$C$6)^C5*Configurations!$C$7*(1-Configurations!$C$8))</f>
        <v>0</v>
      </c>
      <c r="E5" s="55">
        <f>IF(OR(A5&lt;=Inputs!$B$21,A5&gt;Inputs!$B$21+Configurations!$C$15),0,IF(A5&lt;=Inputs!$B$21+Inputs!$B$5,0,D5*Inputs!$B$18/1000000))</f>
        <v>0</v>
      </c>
      <c r="F5" s="55">
        <f>IF(OR(A5&lt;=Inputs!$B$21,A5&gt;Inputs!$B$21+Configurations!$C$15),0,IF(A5&lt;=Inputs!$B$21+Inputs!$B$5,Configurations!$C$13,Configurations!$C$12+Configurations!$C$13+Inputs!$B$20*E5))</f>
        <v>0</v>
      </c>
      <c r="G5" s="55">
        <f t="shared" ref="G5:G37" si="0">E5-F5</f>
        <v>0</v>
      </c>
      <c r="H5" s="63">
        <f>IF(AND(A5&gt;Inputs!$B$21,A5&lt;=Inputs!$B$21+Inputs!$B$12),Capitalization!D$12,0)</f>
        <v>0</v>
      </c>
      <c r="I5" s="55">
        <f t="shared" ref="I5:I37" si="1">G5-H5</f>
        <v>0</v>
      </c>
      <c r="J5" s="64" t="str">
        <f>IF(A5&lt;=Inputs!$B$21,"",IF(AND(A5&lt;=Inputs!$B$22,Capitalization!D$18&gt;0),Inputs!$B$25,Inputs!$B$26))</f>
        <v/>
      </c>
      <c r="K5" s="55">
        <f ca="1">IF(A5=0,-Capitalization!D$19,IF(A5&lt;=Inputs!$B$21,0,I5*J5-IF(AND(A5=Inputs!$B$22,Capitalization!D$18&gt;0),Inputs!$B$23,0)))</f>
        <v>-23.543401835685827</v>
      </c>
      <c r="L5" s="65" t="str">
        <f t="shared" ref="L5:L37" si="2">IF(H5&gt;0,G5/H5,"")</f>
        <v/>
      </c>
      <c r="M5" s="55">
        <f>IF(A5=0,-Capitalization!D$4,IF(A5&lt;=Inputs!$B$21,0,G5))</f>
        <v>-321.39999999999998</v>
      </c>
    </row>
    <row r="6" spans="1:13" ht="15" customHeight="1" x14ac:dyDescent="0.2">
      <c r="A6" s="44">
        <v>1</v>
      </c>
      <c r="B6" s="44" t="str">
        <f>IF(A6=0,"Equity",IF(A6&lt;=Inputs!$B$21,"Construction",IF(A6&lt;=Inputs!$B$21+Inputs!$B$5,"Queue wait",IF(A6&lt;=Inputs!$B$21+Configurations!$C$15,"Grid ops"," "))))</f>
        <v>Construction</v>
      </c>
      <c r="C6" s="44" t="str">
        <f>IF(A6&lt;=Inputs!$B$21,"",A6-Inputs!$B$21-1)</f>
        <v/>
      </c>
      <c r="D6" s="56">
        <f>IF(OR(A6&lt;=Inputs!$B$21,A6&gt;Inputs!$B$21+Configurations!$C$15),0,Configurations!$C$4*Configurations!$C$5*8760*(1-Configurations!$C$6)^C6*Configurations!$C$7*(1-Configurations!$C$8))</f>
        <v>0</v>
      </c>
      <c r="E6" s="55">
        <f>IF(OR(A6&lt;=Inputs!$B$21,A6&gt;Inputs!$B$21+Configurations!$C$15),0,IF(A6&lt;=Inputs!$B$21+Inputs!$B$5,0,D6*Inputs!$B$18/1000000))</f>
        <v>0</v>
      </c>
      <c r="F6" s="55">
        <f>IF(OR(A6&lt;=Inputs!$B$21,A6&gt;Inputs!$B$21+Configurations!$C$15),0,IF(A6&lt;=Inputs!$B$21+Inputs!$B$5,Configurations!$C$13,Configurations!$C$12+Configurations!$C$13+Inputs!$B$20*E6))</f>
        <v>0</v>
      </c>
      <c r="G6" s="55">
        <f t="shared" si="0"/>
        <v>0</v>
      </c>
      <c r="H6" s="63">
        <f>IF(AND(A6&gt;Inputs!$B$21,A6&lt;=Inputs!$B$21+Inputs!$B$12),Capitalization!D$12,0)</f>
        <v>0</v>
      </c>
      <c r="I6" s="55">
        <f t="shared" si="1"/>
        <v>0</v>
      </c>
      <c r="J6" s="64" t="str">
        <f>IF(A6&lt;=Inputs!$B$21,"",IF(AND(A6&lt;=Inputs!$B$22,Capitalization!D$18&gt;0),Inputs!$B$25,Inputs!$B$26))</f>
        <v/>
      </c>
      <c r="K6" s="55">
        <f>IF(A6=0,-Capitalization!D$19,IF(A6&lt;=Inputs!$B$21,0,I6*J6-IF(AND(A6=Inputs!$B$22,Capitalization!D$18&gt;0),Inputs!$B$23,0)))</f>
        <v>0</v>
      </c>
      <c r="L6" s="65" t="str">
        <f t="shared" si="2"/>
        <v/>
      </c>
      <c r="M6" s="55">
        <f>IF(A6=0,-Capitalization!D$4,IF(A6&lt;=Inputs!$B$21,0,G6))</f>
        <v>0</v>
      </c>
    </row>
    <row r="7" spans="1:13" ht="15" customHeight="1" x14ac:dyDescent="0.2">
      <c r="A7" s="44">
        <v>2</v>
      </c>
      <c r="B7" s="44" t="str">
        <f>IF(A7=0,"Equity",IF(A7&lt;=Inputs!$B$21,"Construction",IF(A7&lt;=Inputs!$B$21+Inputs!$B$5,"Queue wait",IF(A7&lt;=Inputs!$B$21+Configurations!$C$15,"Grid ops"," "))))</f>
        <v>Construction</v>
      </c>
      <c r="C7" s="44" t="str">
        <f>IF(A7&lt;=Inputs!$B$21,"",A7-Inputs!$B$21-1)</f>
        <v/>
      </c>
      <c r="D7" s="56">
        <f>IF(OR(A7&lt;=Inputs!$B$21,A7&gt;Inputs!$B$21+Configurations!$C$15),0,Configurations!$C$4*Configurations!$C$5*8760*(1-Configurations!$C$6)^C7*Configurations!$C$7*(1-Configurations!$C$8))</f>
        <v>0</v>
      </c>
      <c r="E7" s="55">
        <f>IF(OR(A7&lt;=Inputs!$B$21,A7&gt;Inputs!$B$21+Configurations!$C$15),0,IF(A7&lt;=Inputs!$B$21+Inputs!$B$5,0,D7*Inputs!$B$18/1000000))</f>
        <v>0</v>
      </c>
      <c r="F7" s="55">
        <f>IF(OR(A7&lt;=Inputs!$B$21,A7&gt;Inputs!$B$21+Configurations!$C$15),0,IF(A7&lt;=Inputs!$B$21+Inputs!$B$5,Configurations!$C$13,Configurations!$C$12+Configurations!$C$13+Inputs!$B$20*E7))</f>
        <v>0</v>
      </c>
      <c r="G7" s="55">
        <f t="shared" si="0"/>
        <v>0</v>
      </c>
      <c r="H7" s="63">
        <f>IF(AND(A7&gt;Inputs!$B$21,A7&lt;=Inputs!$B$21+Inputs!$B$12),Capitalization!D$12,0)</f>
        <v>0</v>
      </c>
      <c r="I7" s="55">
        <f t="shared" si="1"/>
        <v>0</v>
      </c>
      <c r="J7" s="64" t="str">
        <f>IF(A7&lt;=Inputs!$B$21,"",IF(AND(A7&lt;=Inputs!$B$22,Capitalization!D$18&gt;0),Inputs!$B$25,Inputs!$B$26))</f>
        <v/>
      </c>
      <c r="K7" s="55">
        <f>IF(A7=0,-Capitalization!D$19,IF(A7&lt;=Inputs!$B$21,0,I7*J7-IF(AND(A7=Inputs!$B$22,Capitalization!D$18&gt;0),Inputs!$B$23,0)))</f>
        <v>0</v>
      </c>
      <c r="L7" s="65" t="str">
        <f t="shared" si="2"/>
        <v/>
      </c>
      <c r="M7" s="55">
        <f>IF(A7=0,-Capitalization!D$4,IF(A7&lt;=Inputs!$B$21,0,G7))</f>
        <v>0</v>
      </c>
    </row>
    <row r="8" spans="1:13" ht="15" customHeight="1" x14ac:dyDescent="0.2">
      <c r="A8" s="44">
        <v>3</v>
      </c>
      <c r="B8" s="44" t="str">
        <f>IF(A8=0,"Equity",IF(A8&lt;=Inputs!$B$21,"Construction",IF(A8&lt;=Inputs!$B$21+Inputs!$B$5,"Queue wait",IF(A8&lt;=Inputs!$B$21+Configurations!$C$15,"Grid ops"," "))))</f>
        <v>Queue wait</v>
      </c>
      <c r="C8" s="44">
        <f>IF(A8&lt;=Inputs!$B$21,"",A8-Inputs!$B$21-1)</f>
        <v>0</v>
      </c>
      <c r="D8" s="56">
        <f>IF(OR(A8&lt;=Inputs!$B$21,A8&gt;Inputs!$B$21+Configurations!$C$15),0,Configurations!$C$4*Configurations!$C$5*8760*(1-Configurations!$C$6)^C8*Configurations!$C$7*(1-Configurations!$C$8))</f>
        <v>430466.39999999997</v>
      </c>
      <c r="E8" s="55">
        <f>IF(OR(A8&lt;=Inputs!$B$21,A8&gt;Inputs!$B$21+Configurations!$C$15),0,IF(A8&lt;=Inputs!$B$21+Inputs!$B$5,0,D8*Inputs!$B$18/1000000))</f>
        <v>0</v>
      </c>
      <c r="F8" s="55">
        <f>IF(OR(A8&lt;=Inputs!$B$21,A8&gt;Inputs!$B$21+Configurations!$C$15),0,IF(A8&lt;=Inputs!$B$21+Inputs!$B$5,Configurations!$C$13,Configurations!$C$12+Configurations!$C$13+Inputs!$B$20*E8))</f>
        <v>1.5860000000000001</v>
      </c>
      <c r="G8" s="55">
        <f t="shared" si="0"/>
        <v>-1.5860000000000001</v>
      </c>
      <c r="H8" s="63">
        <f>IF(AND(A8&gt;Inputs!$B$21,A8&lt;=Inputs!$B$21+Inputs!$B$12),Capitalization!D$12,0)</f>
        <v>14.791995170275147</v>
      </c>
      <c r="I8" s="55">
        <f t="shared" si="1"/>
        <v>-16.377995170275145</v>
      </c>
      <c r="J8" s="64">
        <f ca="1">IF(A8&lt;=Inputs!$B$21,"",IF(AND(A8&lt;=Inputs!$B$22,Capitalization!D$18&gt;0),Inputs!$B$25,Inputs!$B$26))</f>
        <v>0.7</v>
      </c>
      <c r="K8" s="55">
        <f ca="1">IF(A8=0,-Capitalization!D$19,IF(A8&lt;=Inputs!$B$21,0,I8*J8-IF(AND(A8=Inputs!$B$22,Capitalization!D$18&gt;0),Inputs!$B$23,0)))</f>
        <v>-11.464596619192601</v>
      </c>
      <c r="L8" s="65">
        <f t="shared" si="2"/>
        <v>-0.10722015399160645</v>
      </c>
      <c r="M8" s="55">
        <f>IF(A8=0,-Capitalization!D$4,IF(A8&lt;=Inputs!$B$21,0,G8))</f>
        <v>-1.5860000000000001</v>
      </c>
    </row>
    <row r="9" spans="1:13" ht="15" customHeight="1" x14ac:dyDescent="0.2">
      <c r="A9" s="44">
        <v>4</v>
      </c>
      <c r="B9" s="44" t="str">
        <f>IF(A9=0,"Equity",IF(A9&lt;=Inputs!$B$21,"Construction",IF(A9&lt;=Inputs!$B$21+Inputs!$B$5,"Queue wait",IF(A9&lt;=Inputs!$B$21+Configurations!$C$15,"Grid ops"," "))))</f>
        <v>Queue wait</v>
      </c>
      <c r="C9" s="44">
        <f>IF(A9&lt;=Inputs!$B$21,"",A9-Inputs!$B$21-1)</f>
        <v>1</v>
      </c>
      <c r="D9" s="56">
        <f>IF(OR(A9&lt;=Inputs!$B$21,A9&gt;Inputs!$B$21+Configurations!$C$15),0,Configurations!$C$4*Configurations!$C$5*8760*(1-Configurations!$C$6)^C9*Configurations!$C$7*(1-Configurations!$C$8))</f>
        <v>429605.46719999996</v>
      </c>
      <c r="E9" s="55">
        <f>IF(OR(A9&lt;=Inputs!$B$21,A9&gt;Inputs!$B$21+Configurations!$C$15),0,IF(A9&lt;=Inputs!$B$21+Inputs!$B$5,0,D9*Inputs!$B$18/1000000))</f>
        <v>0</v>
      </c>
      <c r="F9" s="55">
        <f>IF(OR(A9&lt;=Inputs!$B$21,A9&gt;Inputs!$B$21+Configurations!$C$15),0,IF(A9&lt;=Inputs!$B$21+Inputs!$B$5,Configurations!$C$13,Configurations!$C$12+Configurations!$C$13+Inputs!$B$20*E9))</f>
        <v>1.5860000000000001</v>
      </c>
      <c r="G9" s="55">
        <f t="shared" si="0"/>
        <v>-1.5860000000000001</v>
      </c>
      <c r="H9" s="63">
        <f>IF(AND(A9&gt;Inputs!$B$21,A9&lt;=Inputs!$B$21+Inputs!$B$12),Capitalization!D$12,0)</f>
        <v>14.791995170275147</v>
      </c>
      <c r="I9" s="55">
        <f t="shared" si="1"/>
        <v>-16.377995170275145</v>
      </c>
      <c r="J9" s="64">
        <f ca="1">IF(A9&lt;=Inputs!$B$21,"",IF(AND(A9&lt;=Inputs!$B$22,Capitalization!D$18&gt;0),Inputs!$B$25,Inputs!$B$26))</f>
        <v>0.7</v>
      </c>
      <c r="K9" s="55">
        <f ca="1">IF(A9=0,-Capitalization!D$19,IF(A9&lt;=Inputs!$B$21,0,I9*J9-IF(AND(A9=Inputs!$B$22,Capitalization!D$18&gt;0),Inputs!$B$23,0)))</f>
        <v>-11.464596619192601</v>
      </c>
      <c r="L9" s="65">
        <f t="shared" si="2"/>
        <v>-0.10722015399160645</v>
      </c>
      <c r="M9" s="55">
        <f>IF(A9=0,-Capitalization!D$4,IF(A9&lt;=Inputs!$B$21,0,G9))</f>
        <v>-1.5860000000000001</v>
      </c>
    </row>
    <row r="10" spans="1:13" ht="15" customHeight="1" x14ac:dyDescent="0.2">
      <c r="A10" s="44">
        <v>5</v>
      </c>
      <c r="B10" s="44" t="str">
        <f>IF(A10=0,"Equity",IF(A10&lt;=Inputs!$B$21,"Construction",IF(A10&lt;=Inputs!$B$21+Inputs!$B$5,"Queue wait",IF(A10&lt;=Inputs!$B$21+Configurations!$C$15,"Grid ops"," "))))</f>
        <v>Queue wait</v>
      </c>
      <c r="C10" s="44">
        <f>IF(A10&lt;=Inputs!$B$21,"",A10-Inputs!$B$21-1)</f>
        <v>2</v>
      </c>
      <c r="D10" s="56">
        <f>IF(OR(A10&lt;=Inputs!$B$21,A10&gt;Inputs!$B$21+Configurations!$C$15),0,Configurations!$C$4*Configurations!$C$5*8760*(1-Configurations!$C$6)^C10*Configurations!$C$7*(1-Configurations!$C$8))</f>
        <v>428746.25626559992</v>
      </c>
      <c r="E10" s="55">
        <f>IF(OR(A10&lt;=Inputs!$B$21,A10&gt;Inputs!$B$21+Configurations!$C$15),0,IF(A10&lt;=Inputs!$B$21+Inputs!$B$5,0,D10*Inputs!$B$18/1000000))</f>
        <v>0</v>
      </c>
      <c r="F10" s="55">
        <f>IF(OR(A10&lt;=Inputs!$B$21,A10&gt;Inputs!$B$21+Configurations!$C$15),0,IF(A10&lt;=Inputs!$B$21+Inputs!$B$5,Configurations!$C$13,Configurations!$C$12+Configurations!$C$13+Inputs!$B$20*E10))</f>
        <v>1.5860000000000001</v>
      </c>
      <c r="G10" s="55">
        <f t="shared" si="0"/>
        <v>-1.5860000000000001</v>
      </c>
      <c r="H10" s="63">
        <f>IF(AND(A10&gt;Inputs!$B$21,A10&lt;=Inputs!$B$21+Inputs!$B$12),Capitalization!D$12,0)</f>
        <v>14.791995170275147</v>
      </c>
      <c r="I10" s="55">
        <f t="shared" si="1"/>
        <v>-16.377995170275145</v>
      </c>
      <c r="J10" s="64">
        <f ca="1">IF(A10&lt;=Inputs!$B$21,"",IF(AND(A10&lt;=Inputs!$B$22,Capitalization!D$18&gt;0),Inputs!$B$25,Inputs!$B$26))</f>
        <v>0.7</v>
      </c>
      <c r="K10" s="55">
        <f ca="1">IF(A10=0,-Capitalization!D$19,IF(A10&lt;=Inputs!$B$21,0,I10*J10-IF(AND(A10=Inputs!$B$22,Capitalization!D$18&gt;0),Inputs!$B$23,0)))</f>
        <v>-11.464596619192601</v>
      </c>
      <c r="L10" s="65">
        <f t="shared" si="2"/>
        <v>-0.10722015399160645</v>
      </c>
      <c r="M10" s="55">
        <f>IF(A10=0,-Capitalization!D$4,IF(A10&lt;=Inputs!$B$21,0,G10))</f>
        <v>-1.5860000000000001</v>
      </c>
    </row>
    <row r="11" spans="1:13" ht="15" customHeight="1" x14ac:dyDescent="0.2">
      <c r="A11" s="44">
        <v>6</v>
      </c>
      <c r="B11" s="44" t="str">
        <f>IF(A11=0,"Equity",IF(A11&lt;=Inputs!$B$21,"Construction",IF(A11&lt;=Inputs!$B$21+Inputs!$B$5,"Queue wait",IF(A11&lt;=Inputs!$B$21+Configurations!$C$15,"Grid ops"," "))))</f>
        <v>Queue wait</v>
      </c>
      <c r="C11" s="44">
        <f>IF(A11&lt;=Inputs!$B$21,"",A11-Inputs!$B$21-1)</f>
        <v>3</v>
      </c>
      <c r="D11" s="56">
        <f>IF(OR(A11&lt;=Inputs!$B$21,A11&gt;Inputs!$B$21+Configurations!$C$15),0,Configurations!$C$4*Configurations!$C$5*8760*(1-Configurations!$C$6)^C11*Configurations!$C$7*(1-Configurations!$C$8))</f>
        <v>427888.76375306875</v>
      </c>
      <c r="E11" s="55">
        <f>IF(OR(A11&lt;=Inputs!$B$21,A11&gt;Inputs!$B$21+Configurations!$C$15),0,IF(A11&lt;=Inputs!$B$21+Inputs!$B$5,0,D11*Inputs!$B$18/1000000))</f>
        <v>0</v>
      </c>
      <c r="F11" s="55">
        <f>IF(OR(A11&lt;=Inputs!$B$21,A11&gt;Inputs!$B$21+Configurations!$C$15),0,IF(A11&lt;=Inputs!$B$21+Inputs!$B$5,Configurations!$C$13,Configurations!$C$12+Configurations!$C$13+Inputs!$B$20*E11))</f>
        <v>1.5860000000000001</v>
      </c>
      <c r="G11" s="55">
        <f t="shared" si="0"/>
        <v>-1.5860000000000001</v>
      </c>
      <c r="H11" s="63">
        <f>IF(AND(A11&gt;Inputs!$B$21,A11&lt;=Inputs!$B$21+Inputs!$B$12),Capitalization!D$12,0)</f>
        <v>14.791995170275147</v>
      </c>
      <c r="I11" s="55">
        <f t="shared" si="1"/>
        <v>-16.377995170275145</v>
      </c>
      <c r="J11" s="64">
        <f ca="1">IF(A11&lt;=Inputs!$B$21,"",IF(AND(A11&lt;=Inputs!$B$22,Capitalization!D$18&gt;0),Inputs!$B$25,Inputs!$B$26))</f>
        <v>0.7</v>
      </c>
      <c r="K11" s="55">
        <f ca="1">IF(A11=0,-Capitalization!D$19,IF(A11&lt;=Inputs!$B$21,0,I11*J11-IF(AND(A11=Inputs!$B$22,Capitalization!D$18&gt;0),Inputs!$B$23,0)))</f>
        <v>-12.464596619192601</v>
      </c>
      <c r="L11" s="65">
        <f t="shared" si="2"/>
        <v>-0.10722015399160645</v>
      </c>
      <c r="M11" s="55">
        <f>IF(A11=0,-Capitalization!D$4,IF(A11&lt;=Inputs!$B$21,0,G11))</f>
        <v>-1.5860000000000001</v>
      </c>
    </row>
    <row r="12" spans="1:13" ht="15" customHeight="1" x14ac:dyDescent="0.2">
      <c r="A12" s="44">
        <v>7</v>
      </c>
      <c r="B12" s="44" t="str">
        <f>IF(A12=0,"Equity",IF(A12&lt;=Inputs!$B$21,"Construction",IF(A12&lt;=Inputs!$B$21+Inputs!$B$5,"Queue wait",IF(A12&lt;=Inputs!$B$21+Configurations!$C$15,"Grid ops"," "))))</f>
        <v>Grid ops</v>
      </c>
      <c r="C12" s="44">
        <f>IF(A12&lt;=Inputs!$B$21,"",A12-Inputs!$B$21-1)</f>
        <v>4</v>
      </c>
      <c r="D12" s="56">
        <f>IF(OR(A12&lt;=Inputs!$B$21,A12&gt;Inputs!$B$21+Configurations!$C$15),0,Configurations!$C$4*Configurations!$C$5*8760*(1-Configurations!$C$6)^C12*Configurations!$C$7*(1-Configurations!$C$8))</f>
        <v>427032.98622556264</v>
      </c>
      <c r="E12" s="55">
        <f>IF(OR(A12&lt;=Inputs!$B$21,A12&gt;Inputs!$B$21+Configurations!$C$15),0,IF(A12&lt;=Inputs!$B$21+Inputs!$B$5,0,D12*Inputs!$B$18/1000000))</f>
        <v>30.746375008240509</v>
      </c>
      <c r="F12" s="55">
        <f>IF(OR(A12&lt;=Inputs!$B$21,A12&gt;Inputs!$B$21+Configurations!$C$15),0,IF(A12&lt;=Inputs!$B$21+Inputs!$B$5,Configurations!$C$13,Configurations!$C$12+Configurations!$C$13+Inputs!$B$20*E12))</f>
        <v>8.4221956251236083</v>
      </c>
      <c r="G12" s="55">
        <f t="shared" si="0"/>
        <v>22.324179383116899</v>
      </c>
      <c r="H12" s="63">
        <f>IF(AND(A12&gt;Inputs!$B$21,A12&lt;=Inputs!$B$21+Inputs!$B$12),Capitalization!D$12,0)</f>
        <v>14.791995170275147</v>
      </c>
      <c r="I12" s="55">
        <f t="shared" si="1"/>
        <v>7.5321842128417522</v>
      </c>
      <c r="J12" s="64">
        <f ca="1">IF(A12&lt;=Inputs!$B$21,"",IF(AND(A12&lt;=Inputs!$B$22,Capitalization!D$18&gt;0),Inputs!$B$25,Inputs!$B$26))</f>
        <v>0.97499999999999998</v>
      </c>
      <c r="K12" s="55">
        <f ca="1">IF(A12=0,-Capitalization!D$19,IF(A12&lt;=Inputs!$B$21,0,I12*J12-IF(AND(A12=Inputs!$B$22,Capitalization!D$18&gt;0),Inputs!$B$23,0)))</f>
        <v>7.3438796075207087</v>
      </c>
      <c r="L12" s="65">
        <f t="shared" si="2"/>
        <v>1.5092067788108698</v>
      </c>
      <c r="M12" s="55">
        <f>IF(A12=0,-Capitalization!D$4,IF(A12&lt;=Inputs!$B$21,0,G12))</f>
        <v>22.324179383116899</v>
      </c>
    </row>
    <row r="13" spans="1:13" ht="15" customHeight="1" x14ac:dyDescent="0.2">
      <c r="A13" s="44">
        <v>8</v>
      </c>
      <c r="B13" s="44" t="str">
        <f>IF(A13=0,"Equity",IF(A13&lt;=Inputs!$B$21,"Construction",IF(A13&lt;=Inputs!$B$21+Inputs!$B$5,"Queue wait",IF(A13&lt;=Inputs!$B$21+Configurations!$C$15,"Grid ops"," "))))</f>
        <v>Grid ops</v>
      </c>
      <c r="C13" s="44">
        <f>IF(A13&lt;=Inputs!$B$21,"",A13-Inputs!$B$21-1)</f>
        <v>5</v>
      </c>
      <c r="D13" s="56">
        <f>IF(OR(A13&lt;=Inputs!$B$21,A13&gt;Inputs!$B$21+Configurations!$C$15),0,Configurations!$C$4*Configurations!$C$5*8760*(1-Configurations!$C$6)^C13*Configurations!$C$7*(1-Configurations!$C$8))</f>
        <v>426178.92025311152</v>
      </c>
      <c r="E13" s="55">
        <f>IF(OR(A13&lt;=Inputs!$B$21,A13&gt;Inputs!$B$21+Configurations!$C$15),0,IF(A13&lt;=Inputs!$B$21+Inputs!$B$5,0,D13*Inputs!$B$18/1000000))</f>
        <v>30.684882258224029</v>
      </c>
      <c r="F13" s="55">
        <f>IF(OR(A13&lt;=Inputs!$B$21,A13&gt;Inputs!$B$21+Configurations!$C$15),0,IF(A13&lt;=Inputs!$B$21+Inputs!$B$5,Configurations!$C$13,Configurations!$C$12+Configurations!$C$13+Inputs!$B$20*E13))</f>
        <v>8.4212732338733609</v>
      </c>
      <c r="G13" s="55">
        <f t="shared" si="0"/>
        <v>22.263609024350668</v>
      </c>
      <c r="H13" s="63">
        <f>IF(AND(A13&gt;Inputs!$B$21,A13&lt;=Inputs!$B$21+Inputs!$B$12),Capitalization!D$12,0)</f>
        <v>14.791995170275147</v>
      </c>
      <c r="I13" s="55">
        <f t="shared" si="1"/>
        <v>7.471613854075521</v>
      </c>
      <c r="J13" s="64">
        <f ca="1">IF(A13&lt;=Inputs!$B$21,"",IF(AND(A13&lt;=Inputs!$B$22,Capitalization!D$18&gt;0),Inputs!$B$25,Inputs!$B$26))</f>
        <v>0.97499999999999998</v>
      </c>
      <c r="K13" s="55">
        <f ca="1">IF(A13=0,-Capitalization!D$19,IF(A13&lt;=Inputs!$B$21,0,I13*J13-IF(AND(A13=Inputs!$B$22,Capitalization!D$18&gt;0),Inputs!$B$23,0)))</f>
        <v>7.2848235077236332</v>
      </c>
      <c r="L13" s="65">
        <f t="shared" si="2"/>
        <v>1.5051119722571233</v>
      </c>
      <c r="M13" s="55">
        <f>IF(A13=0,-Capitalization!D$4,IF(A13&lt;=Inputs!$B$21,0,G13))</f>
        <v>22.263609024350668</v>
      </c>
    </row>
    <row r="14" spans="1:13" ht="15" customHeight="1" x14ac:dyDescent="0.2">
      <c r="A14" s="44">
        <v>9</v>
      </c>
      <c r="B14" s="44" t="str">
        <f>IF(A14=0,"Equity",IF(A14&lt;=Inputs!$B$21,"Construction",IF(A14&lt;=Inputs!$B$21+Inputs!$B$5,"Queue wait",IF(A14&lt;=Inputs!$B$21+Configurations!$C$15,"Grid ops"," "))))</f>
        <v>Grid ops</v>
      </c>
      <c r="C14" s="44">
        <f>IF(A14&lt;=Inputs!$B$21,"",A14-Inputs!$B$21-1)</f>
        <v>6</v>
      </c>
      <c r="D14" s="56">
        <f>IF(OR(A14&lt;=Inputs!$B$21,A14&gt;Inputs!$B$21+Configurations!$C$15),0,Configurations!$C$4*Configurations!$C$5*8760*(1-Configurations!$C$6)^C14*Configurations!$C$7*(1-Configurations!$C$8))</f>
        <v>425326.56241260527</v>
      </c>
      <c r="E14" s="55">
        <f>IF(OR(A14&lt;=Inputs!$B$21,A14&gt;Inputs!$B$21+Configurations!$C$15),0,IF(A14&lt;=Inputs!$B$21+Inputs!$B$5,0,D14*Inputs!$B$18/1000000))</f>
        <v>30.62351249370758</v>
      </c>
      <c r="F14" s="55">
        <f>IF(OR(A14&lt;=Inputs!$B$21,A14&gt;Inputs!$B$21+Configurations!$C$15),0,IF(A14&lt;=Inputs!$B$21+Inputs!$B$5,Configurations!$C$13,Configurations!$C$12+Configurations!$C$13+Inputs!$B$20*E14))</f>
        <v>8.4203526874056145</v>
      </c>
      <c r="G14" s="55">
        <f t="shared" si="0"/>
        <v>22.203159806301965</v>
      </c>
      <c r="H14" s="63">
        <f>IF(AND(A14&gt;Inputs!$B$21,A14&lt;=Inputs!$B$21+Inputs!$B$12),Capitalization!D$12,0)</f>
        <v>14.791995170275147</v>
      </c>
      <c r="I14" s="55">
        <f t="shared" si="1"/>
        <v>7.4111646360268182</v>
      </c>
      <c r="J14" s="64">
        <f ca="1">IF(A14&lt;=Inputs!$B$21,"",IF(AND(A14&lt;=Inputs!$B$22,Capitalization!D$18&gt;0),Inputs!$B$25,Inputs!$B$26))</f>
        <v>0.97499999999999998</v>
      </c>
      <c r="K14" s="55">
        <f ca="1">IF(A14=0,-Capitalization!D$19,IF(A14&lt;=Inputs!$B$21,0,I14*J14-IF(AND(A14=Inputs!$B$22,Capitalization!D$18&gt;0),Inputs!$B$23,0)))</f>
        <v>7.2258855201261474</v>
      </c>
      <c r="L14" s="65">
        <f t="shared" si="2"/>
        <v>1.5010253553164838</v>
      </c>
      <c r="M14" s="55">
        <f>IF(A14=0,-Capitalization!D$4,IF(A14&lt;=Inputs!$B$21,0,G14))</f>
        <v>22.203159806301965</v>
      </c>
    </row>
    <row r="15" spans="1:13" ht="15" customHeight="1" x14ac:dyDescent="0.2">
      <c r="A15" s="44">
        <v>10</v>
      </c>
      <c r="B15" s="44" t="str">
        <f>IF(A15=0,"Equity",IF(A15&lt;=Inputs!$B$21,"Construction",IF(A15&lt;=Inputs!$B$21+Inputs!$B$5,"Queue wait",IF(A15&lt;=Inputs!$B$21+Configurations!$C$15,"Grid ops"," "))))</f>
        <v>Grid ops</v>
      </c>
      <c r="C15" s="44">
        <f>IF(A15&lt;=Inputs!$B$21,"",A15-Inputs!$B$21-1)</f>
        <v>7</v>
      </c>
      <c r="D15" s="56">
        <f>IF(OR(A15&lt;=Inputs!$B$21,A15&gt;Inputs!$B$21+Configurations!$C$15),0,Configurations!$C$4*Configurations!$C$5*8760*(1-Configurations!$C$6)^C15*Configurations!$C$7*(1-Configurations!$C$8))</f>
        <v>424475.90928778006</v>
      </c>
      <c r="E15" s="55">
        <f>IF(OR(A15&lt;=Inputs!$B$21,A15&gt;Inputs!$B$21+Configurations!$C$15),0,IF(A15&lt;=Inputs!$B$21+Inputs!$B$5,0,D15*Inputs!$B$18/1000000))</f>
        <v>30.562265468720163</v>
      </c>
      <c r="F15" s="55">
        <f>IF(OR(A15&lt;=Inputs!$B$21,A15&gt;Inputs!$B$21+Configurations!$C$15),0,IF(A15&lt;=Inputs!$B$21+Inputs!$B$5,Configurations!$C$13,Configurations!$C$12+Configurations!$C$13+Inputs!$B$20*E15))</f>
        <v>8.4194339820308031</v>
      </c>
      <c r="G15" s="55">
        <f t="shared" si="0"/>
        <v>22.14283148668936</v>
      </c>
      <c r="H15" s="63">
        <f>IF(AND(A15&gt;Inputs!$B$21,A15&lt;=Inputs!$B$21+Inputs!$B$12),Capitalization!D$12,0)</f>
        <v>14.791995170275147</v>
      </c>
      <c r="I15" s="55">
        <f t="shared" si="1"/>
        <v>7.3508363164142132</v>
      </c>
      <c r="J15" s="64">
        <f ca="1">IF(A15&lt;=Inputs!$B$21,"",IF(AND(A15&lt;=Inputs!$B$22,Capitalization!D$18&gt;0),Inputs!$B$25,Inputs!$B$26))</f>
        <v>0.97499999999999998</v>
      </c>
      <c r="K15" s="55">
        <f ca="1">IF(A15=0,-Capitalization!D$19,IF(A15&lt;=Inputs!$B$21,0,I15*J15-IF(AND(A15=Inputs!$B$22,Capitalization!D$18&gt;0),Inputs!$B$23,0)))</f>
        <v>7.1670654085038574</v>
      </c>
      <c r="L15" s="65">
        <f t="shared" si="2"/>
        <v>1.4969469116097258</v>
      </c>
      <c r="M15" s="55">
        <f>IF(A15=0,-Capitalization!D$4,IF(A15&lt;=Inputs!$B$21,0,G15))</f>
        <v>22.14283148668936</v>
      </c>
    </row>
    <row r="16" spans="1:13" ht="15" customHeight="1" x14ac:dyDescent="0.2">
      <c r="A16" s="44">
        <v>11</v>
      </c>
      <c r="B16" s="44" t="str">
        <f>IF(A16=0,"Equity",IF(A16&lt;=Inputs!$B$21,"Construction",IF(A16&lt;=Inputs!$B$21+Inputs!$B$5,"Queue wait",IF(A16&lt;=Inputs!$B$21+Configurations!$C$15,"Grid ops"," "))))</f>
        <v>Grid ops</v>
      </c>
      <c r="C16" s="44">
        <f>IF(A16&lt;=Inputs!$B$21,"",A16-Inputs!$B$21-1)</f>
        <v>8</v>
      </c>
      <c r="D16" s="56">
        <f>IF(OR(A16&lt;=Inputs!$B$21,A16&gt;Inputs!$B$21+Configurations!$C$15),0,Configurations!$C$4*Configurations!$C$5*8760*(1-Configurations!$C$6)^C16*Configurations!$C$7*(1-Configurations!$C$8))</f>
        <v>423626.95746920456</v>
      </c>
      <c r="E16" s="55">
        <f>IF(OR(A16&lt;=Inputs!$B$21,A16&gt;Inputs!$B$21+Configurations!$C$15),0,IF(A16&lt;=Inputs!$B$21+Inputs!$B$5,0,D16*Inputs!$B$18/1000000))</f>
        <v>30.501140937782726</v>
      </c>
      <c r="F16" s="55">
        <f>IF(OR(A16&lt;=Inputs!$B$21,A16&gt;Inputs!$B$21+Configurations!$C$15),0,IF(A16&lt;=Inputs!$B$21+Inputs!$B$5,Configurations!$C$13,Configurations!$C$12+Configurations!$C$13+Inputs!$B$20*E16))</f>
        <v>8.4185171140667414</v>
      </c>
      <c r="G16" s="55">
        <f t="shared" si="0"/>
        <v>22.082623823715984</v>
      </c>
      <c r="H16" s="63">
        <f>IF(AND(A16&gt;Inputs!$B$21,A16&lt;=Inputs!$B$21+Inputs!$B$12),Capitalization!D$12,0)</f>
        <v>14.791995170275147</v>
      </c>
      <c r="I16" s="55">
        <f t="shared" si="1"/>
        <v>7.2906286534408373</v>
      </c>
      <c r="J16" s="64">
        <f ca="1">IF(A16&lt;=Inputs!$B$21,"",IF(AND(A16&lt;=Inputs!$B$22,Capitalization!D$18&gt;0),Inputs!$B$25,Inputs!$B$26))</f>
        <v>0.97499999999999998</v>
      </c>
      <c r="K16" s="55">
        <f ca="1">IF(A16=0,-Capitalization!D$19,IF(A16&lt;=Inputs!$B$21,0,I16*J16-IF(AND(A16=Inputs!$B$22,Capitalization!D$18&gt;0),Inputs!$B$23,0)))</f>
        <v>7.1083629371048165</v>
      </c>
      <c r="L16" s="65">
        <f t="shared" si="2"/>
        <v>1.4928766247903813</v>
      </c>
      <c r="M16" s="55">
        <f>IF(A16=0,-Capitalization!D$4,IF(A16&lt;=Inputs!$B$21,0,G16))</f>
        <v>22.082623823715984</v>
      </c>
    </row>
    <row r="17" spans="1:13" ht="15" customHeight="1" x14ac:dyDescent="0.2">
      <c r="A17" s="44">
        <v>12</v>
      </c>
      <c r="B17" s="44" t="str">
        <f>IF(A17=0,"Equity",IF(A17&lt;=Inputs!$B$21,"Construction",IF(A17&lt;=Inputs!$B$21+Inputs!$B$5,"Queue wait",IF(A17&lt;=Inputs!$B$21+Configurations!$C$15,"Grid ops"," "))))</f>
        <v>Grid ops</v>
      </c>
      <c r="C17" s="44">
        <f>IF(A17&lt;=Inputs!$B$21,"",A17-Inputs!$B$21-1)</f>
        <v>9</v>
      </c>
      <c r="D17" s="56">
        <f>IF(OR(A17&lt;=Inputs!$B$21,A17&gt;Inputs!$B$21+Configurations!$C$15),0,Configurations!$C$4*Configurations!$C$5*8760*(1-Configurations!$C$6)^C17*Configurations!$C$7*(1-Configurations!$C$8))</f>
        <v>422779.70355426613</v>
      </c>
      <c r="E17" s="55">
        <f>IF(OR(A17&lt;=Inputs!$B$21,A17&gt;Inputs!$B$21+Configurations!$C$15),0,IF(A17&lt;=Inputs!$B$21+Inputs!$B$5,0,D17*Inputs!$B$18/1000000))</f>
        <v>30.440138655907163</v>
      </c>
      <c r="F17" s="55">
        <f>IF(OR(A17&lt;=Inputs!$B$21,A17&gt;Inputs!$B$21+Configurations!$C$15),0,IF(A17&lt;=Inputs!$B$21+Inputs!$B$5,Configurations!$C$13,Configurations!$C$12+Configurations!$C$13+Inputs!$B$20*E17))</f>
        <v>8.4176020798386073</v>
      </c>
      <c r="G17" s="55">
        <f t="shared" si="0"/>
        <v>22.022536576068553</v>
      </c>
      <c r="H17" s="63">
        <f>IF(AND(A17&gt;Inputs!$B$21,A17&lt;=Inputs!$B$21+Inputs!$B$12),Capitalization!D$12,0)</f>
        <v>14.791995170275147</v>
      </c>
      <c r="I17" s="55">
        <f t="shared" si="1"/>
        <v>7.2305414057934065</v>
      </c>
      <c r="J17" s="64">
        <f ca="1">IF(A17&lt;=Inputs!$B$21,"",IF(AND(A17&lt;=Inputs!$B$22,Capitalization!D$18&gt;0),Inputs!$B$25,Inputs!$B$26))</f>
        <v>0.97499999999999998</v>
      </c>
      <c r="K17" s="55">
        <f ca="1">IF(A17=0,-Capitalization!D$19,IF(A17&lt;=Inputs!$B$21,0,I17*J17-IF(AND(A17=Inputs!$B$22,Capitalization!D$18&gt;0),Inputs!$B$23,0)))</f>
        <v>7.0497778706485716</v>
      </c>
      <c r="L17" s="65">
        <f t="shared" si="2"/>
        <v>1.4888144785446757</v>
      </c>
      <c r="M17" s="55">
        <f>IF(A17=0,-Capitalization!D$4,IF(A17&lt;=Inputs!$B$21,0,G17))</f>
        <v>22.022536576068553</v>
      </c>
    </row>
    <row r="18" spans="1:13" ht="15" customHeight="1" x14ac:dyDescent="0.2">
      <c r="A18" s="44">
        <v>13</v>
      </c>
      <c r="B18" s="44" t="str">
        <f>IF(A18=0,"Equity",IF(A18&lt;=Inputs!$B$21,"Construction",IF(A18&lt;=Inputs!$B$21+Inputs!$B$5,"Queue wait",IF(A18&lt;=Inputs!$B$21+Configurations!$C$15,"Grid ops"," "))))</f>
        <v>Grid ops</v>
      </c>
      <c r="C18" s="44">
        <f>IF(A18&lt;=Inputs!$B$21,"",A18-Inputs!$B$21-1)</f>
        <v>10</v>
      </c>
      <c r="D18" s="56">
        <f>IF(OR(A18&lt;=Inputs!$B$21,A18&gt;Inputs!$B$21+Configurations!$C$15),0,Configurations!$C$4*Configurations!$C$5*8760*(1-Configurations!$C$6)^C18*Configurations!$C$7*(1-Configurations!$C$8))</f>
        <v>421934.14414715761</v>
      </c>
      <c r="E18" s="55">
        <f>IF(OR(A18&lt;=Inputs!$B$21,A18&gt;Inputs!$B$21+Configurations!$C$15),0,IF(A18&lt;=Inputs!$B$21+Inputs!$B$5,0,D18*Inputs!$B$18/1000000))</f>
        <v>30.379258378595349</v>
      </c>
      <c r="F18" s="55">
        <f>IF(OR(A18&lt;=Inputs!$B$21,A18&gt;Inputs!$B$21+Configurations!$C$15),0,IF(A18&lt;=Inputs!$B$21+Inputs!$B$5,Configurations!$C$13,Configurations!$C$12+Configurations!$C$13+Inputs!$B$20*E18))</f>
        <v>8.4166888756789309</v>
      </c>
      <c r="G18" s="55">
        <f t="shared" si="0"/>
        <v>21.962569502916416</v>
      </c>
      <c r="H18" s="63">
        <f>IF(AND(A18&gt;Inputs!$B$21,A18&lt;=Inputs!$B$21+Inputs!$B$12),Capitalization!D$12,0)</f>
        <v>14.791995170275147</v>
      </c>
      <c r="I18" s="55">
        <f t="shared" si="1"/>
        <v>7.1705743326412694</v>
      </c>
      <c r="J18" s="64">
        <f ca="1">IF(A18&lt;=Inputs!$B$21,"",IF(AND(A18&lt;=Inputs!$B$22,Capitalization!D$18&gt;0),Inputs!$B$25,Inputs!$B$26))</f>
        <v>0.97499999999999998</v>
      </c>
      <c r="K18" s="55">
        <f ca="1">IF(A18=0,-Capitalization!D$19,IF(A18&lt;=Inputs!$B$21,0,I18*J18-IF(AND(A18=Inputs!$B$22,Capitalization!D$18&gt;0),Inputs!$B$23,0)))</f>
        <v>6.9913099743252376</v>
      </c>
      <c r="L18" s="65">
        <f t="shared" si="2"/>
        <v>1.4847604565914612</v>
      </c>
      <c r="M18" s="55">
        <f>IF(A18=0,-Capitalization!D$4,IF(A18&lt;=Inputs!$B$21,0,G18))</f>
        <v>21.962569502916416</v>
      </c>
    </row>
    <row r="19" spans="1:13" ht="15" customHeight="1" x14ac:dyDescent="0.2">
      <c r="A19" s="44">
        <v>14</v>
      </c>
      <c r="B19" s="44" t="str">
        <f>IF(A19=0,"Equity",IF(A19&lt;=Inputs!$B$21,"Construction",IF(A19&lt;=Inputs!$B$21+Inputs!$B$5,"Queue wait",IF(A19&lt;=Inputs!$B$21+Configurations!$C$15,"Grid ops"," "))))</f>
        <v>Grid ops</v>
      </c>
      <c r="C19" s="44">
        <f>IF(A19&lt;=Inputs!$B$21,"",A19-Inputs!$B$21-1)</f>
        <v>11</v>
      </c>
      <c r="D19" s="56">
        <f>IF(OR(A19&lt;=Inputs!$B$21,A19&gt;Inputs!$B$21+Configurations!$C$15),0,Configurations!$C$4*Configurations!$C$5*8760*(1-Configurations!$C$6)^C19*Configurations!$C$7*(1-Configurations!$C$8))</f>
        <v>421090.27585886326</v>
      </c>
      <c r="E19" s="55">
        <f>IF(OR(A19&lt;=Inputs!$B$21,A19&gt;Inputs!$B$21+Configurations!$C$15),0,IF(A19&lt;=Inputs!$B$21+Inputs!$B$5,0,D19*Inputs!$B$18/1000000))</f>
        <v>30.318499861838156</v>
      </c>
      <c r="F19" s="55">
        <f>IF(OR(A19&lt;=Inputs!$B$21,A19&gt;Inputs!$B$21+Configurations!$C$15),0,IF(A19&lt;=Inputs!$B$21+Inputs!$B$5,Configurations!$C$13,Configurations!$C$12+Configurations!$C$13+Inputs!$B$20*E19))</f>
        <v>8.4157774979275732</v>
      </c>
      <c r="G19" s="55">
        <f t="shared" si="0"/>
        <v>21.902722363910584</v>
      </c>
      <c r="H19" s="63">
        <f>IF(AND(A19&gt;Inputs!$B$21,A19&lt;=Inputs!$B$21+Inputs!$B$12),Capitalization!D$12,0)</f>
        <v>14.791995170275147</v>
      </c>
      <c r="I19" s="55">
        <f t="shared" si="1"/>
        <v>7.1107271936354373</v>
      </c>
      <c r="J19" s="64">
        <f ca="1">IF(A19&lt;=Inputs!$B$21,"",IF(AND(A19&lt;=Inputs!$B$22,Capitalization!D$18&gt;0),Inputs!$B$25,Inputs!$B$26))</f>
        <v>0.97499999999999998</v>
      </c>
      <c r="K19" s="55">
        <f ca="1">IF(A19=0,-Capitalization!D$19,IF(A19&lt;=Inputs!$B$21,0,I19*J19-IF(AND(A19=Inputs!$B$22,Capitalization!D$18&gt;0),Inputs!$B$23,0)))</f>
        <v>6.9329590137945516</v>
      </c>
      <c r="L19" s="65">
        <f t="shared" si="2"/>
        <v>1.4807145426821533</v>
      </c>
      <c r="M19" s="55">
        <f>IF(A19=0,-Capitalization!D$4,IF(A19&lt;=Inputs!$B$21,0,G19))</f>
        <v>21.902722363910584</v>
      </c>
    </row>
    <row r="20" spans="1:13" ht="15" customHeight="1" x14ac:dyDescent="0.2">
      <c r="A20" s="44">
        <v>15</v>
      </c>
      <c r="B20" s="44" t="str">
        <f>IF(A20=0,"Equity",IF(A20&lt;=Inputs!$B$21,"Construction",IF(A20&lt;=Inputs!$B$21+Inputs!$B$5,"Queue wait",IF(A20&lt;=Inputs!$B$21+Configurations!$C$15,"Grid ops"," "))))</f>
        <v>Grid ops</v>
      </c>
      <c r="C20" s="44">
        <f>IF(A20&lt;=Inputs!$B$21,"",A20-Inputs!$B$21-1)</f>
        <v>12</v>
      </c>
      <c r="D20" s="56">
        <f>IF(OR(A20&lt;=Inputs!$B$21,A20&gt;Inputs!$B$21+Configurations!$C$15),0,Configurations!$C$4*Configurations!$C$5*8760*(1-Configurations!$C$6)^C20*Configurations!$C$7*(1-Configurations!$C$8))</f>
        <v>420248.09530714562</v>
      </c>
      <c r="E20" s="55">
        <f>IF(OR(A20&lt;=Inputs!$B$21,A20&gt;Inputs!$B$21+Configurations!$C$15),0,IF(A20&lt;=Inputs!$B$21+Inputs!$B$5,0,D20*Inputs!$B$18/1000000))</f>
        <v>30.257862862114486</v>
      </c>
      <c r="F20" s="55">
        <f>IF(OR(A20&lt;=Inputs!$B$21,A20&gt;Inputs!$B$21+Configurations!$C$15),0,IF(A20&lt;=Inputs!$B$21+Inputs!$B$5,Configurations!$C$13,Configurations!$C$12+Configurations!$C$13+Inputs!$B$20*E20))</f>
        <v>8.4148679429317177</v>
      </c>
      <c r="G20" s="55">
        <f t="shared" si="0"/>
        <v>21.842994919182768</v>
      </c>
      <c r="H20" s="63">
        <f>IF(AND(A20&gt;Inputs!$B$21,A20&lt;=Inputs!$B$21+Inputs!$B$12),Capitalization!D$12,0)</f>
        <v>14.791995170275147</v>
      </c>
      <c r="I20" s="55">
        <f t="shared" si="1"/>
        <v>7.0509997489076213</v>
      </c>
      <c r="J20" s="64">
        <f ca="1">IF(A20&lt;=Inputs!$B$21,"",IF(AND(A20&lt;=Inputs!$B$22,Capitalization!D$18&gt;0),Inputs!$B$25,Inputs!$B$26))</f>
        <v>0.97499999999999998</v>
      </c>
      <c r="K20" s="55">
        <f ca="1">IF(A20=0,-Capitalization!D$19,IF(A20&lt;=Inputs!$B$21,0,I20*J20-IF(AND(A20=Inputs!$B$22,Capitalization!D$18&gt;0),Inputs!$B$23,0)))</f>
        <v>6.8747247551849302</v>
      </c>
      <c r="L20" s="65">
        <f t="shared" si="2"/>
        <v>1.4766767206006643</v>
      </c>
      <c r="M20" s="55">
        <f>IF(A20=0,-Capitalization!D$4,IF(A20&lt;=Inputs!$B$21,0,G20))</f>
        <v>21.842994919182768</v>
      </c>
    </row>
    <row r="21" spans="1:13" ht="15" customHeight="1" x14ac:dyDescent="0.2">
      <c r="A21" s="44">
        <v>16</v>
      </c>
      <c r="B21" s="44" t="str">
        <f>IF(A21=0,"Equity",IF(A21&lt;=Inputs!$B$21,"Construction",IF(A21&lt;=Inputs!$B$21+Inputs!$B$5,"Queue wait",IF(A21&lt;=Inputs!$B$21+Configurations!$C$15,"Grid ops"," "))))</f>
        <v>Grid ops</v>
      </c>
      <c r="C21" s="44">
        <f>IF(A21&lt;=Inputs!$B$21,"",A21-Inputs!$B$21-1)</f>
        <v>13</v>
      </c>
      <c r="D21" s="56">
        <f>IF(OR(A21&lt;=Inputs!$B$21,A21&gt;Inputs!$B$21+Configurations!$C$15),0,Configurations!$C$4*Configurations!$C$5*8760*(1-Configurations!$C$6)^C21*Configurations!$C$7*(1-Configurations!$C$8))</f>
        <v>419407.59911653126</v>
      </c>
      <c r="E21" s="55">
        <f>IF(OR(A21&lt;=Inputs!$B$21,A21&gt;Inputs!$B$21+Configurations!$C$15),0,IF(A21&lt;=Inputs!$B$21+Inputs!$B$5,0,D21*Inputs!$B$18/1000000))</f>
        <v>30.197347136390249</v>
      </c>
      <c r="F21" s="55">
        <f>IF(OR(A21&lt;=Inputs!$B$21,A21&gt;Inputs!$B$21+Configurations!$C$15),0,IF(A21&lt;=Inputs!$B$21+Inputs!$B$5,Configurations!$C$13,Configurations!$C$12+Configurations!$C$13+Inputs!$B$20*E21))</f>
        <v>8.4139602070458537</v>
      </c>
      <c r="G21" s="55">
        <f t="shared" si="0"/>
        <v>21.783386929344395</v>
      </c>
      <c r="H21" s="63">
        <f>IF(AND(A21&gt;Inputs!$B$21,A21&lt;=Inputs!$B$21+Inputs!$B$12),Capitalization!D$12,0)</f>
        <v>14.791995170275147</v>
      </c>
      <c r="I21" s="55">
        <f t="shared" si="1"/>
        <v>6.9913917590692485</v>
      </c>
      <c r="J21" s="64">
        <f ca="1">IF(A21&lt;=Inputs!$B$21,"",IF(AND(A21&lt;=Inputs!$B$22,Capitalization!D$18&gt;0),Inputs!$B$25,Inputs!$B$26))</f>
        <v>0.97499999999999998</v>
      </c>
      <c r="K21" s="55">
        <f ca="1">IF(A21=0,-Capitalization!D$19,IF(A21&lt;=Inputs!$B$21,0,I21*J21-IF(AND(A21=Inputs!$B$22,Capitalization!D$18&gt;0),Inputs!$B$23,0)))</f>
        <v>6.8166069650925172</v>
      </c>
      <c r="L21" s="65">
        <f t="shared" si="2"/>
        <v>1.4726469741633375</v>
      </c>
      <c r="M21" s="55">
        <f>IF(A21=0,-Capitalization!D$4,IF(A21&lt;=Inputs!$B$21,0,G21))</f>
        <v>21.783386929344395</v>
      </c>
    </row>
    <row r="22" spans="1:13" ht="15" customHeight="1" x14ac:dyDescent="0.2">
      <c r="A22" s="44">
        <v>17</v>
      </c>
      <c r="B22" s="44" t="str">
        <f>IF(A22=0,"Equity",IF(A22&lt;=Inputs!$B$21,"Construction",IF(A22&lt;=Inputs!$B$21+Inputs!$B$5,"Queue wait",IF(A22&lt;=Inputs!$B$21+Configurations!$C$15,"Grid ops"," "))))</f>
        <v>Grid ops</v>
      </c>
      <c r="C22" s="44">
        <f>IF(A22&lt;=Inputs!$B$21,"",A22-Inputs!$B$21-1)</f>
        <v>14</v>
      </c>
      <c r="D22" s="56">
        <f>IF(OR(A22&lt;=Inputs!$B$21,A22&gt;Inputs!$B$21+Configurations!$C$15),0,Configurations!$C$4*Configurations!$C$5*8760*(1-Configurations!$C$6)^C22*Configurations!$C$7*(1-Configurations!$C$8))</f>
        <v>418568.78391829826</v>
      </c>
      <c r="E22" s="55">
        <f>IF(OR(A22&lt;=Inputs!$B$21,A22&gt;Inputs!$B$21+Configurations!$C$15),0,IF(A22&lt;=Inputs!$B$21+Inputs!$B$5,0,D22*Inputs!$B$18/1000000))</f>
        <v>30.136952442117476</v>
      </c>
      <c r="F22" s="55">
        <f>IF(OR(A22&lt;=Inputs!$B$21,A22&gt;Inputs!$B$21+Configurations!$C$15),0,IF(A22&lt;=Inputs!$B$21+Inputs!$B$5,Configurations!$C$13,Configurations!$C$12+Configurations!$C$13+Inputs!$B$20*E22))</f>
        <v>8.4130542866317626</v>
      </c>
      <c r="G22" s="55">
        <f t="shared" si="0"/>
        <v>21.723898155485713</v>
      </c>
      <c r="H22" s="63">
        <f>IF(AND(A22&gt;Inputs!$B$21,A22&lt;=Inputs!$B$21+Inputs!$B$12),Capitalization!D$12,0)</f>
        <v>14.791995170275147</v>
      </c>
      <c r="I22" s="55">
        <f t="shared" si="1"/>
        <v>6.9319029852105665</v>
      </c>
      <c r="J22" s="64">
        <f ca="1">IF(A22&lt;=Inputs!$B$21,"",IF(AND(A22&lt;=Inputs!$B$22,Capitalization!D$18&gt;0),Inputs!$B$25,Inputs!$B$26))</f>
        <v>0.97499999999999998</v>
      </c>
      <c r="K22" s="55">
        <f ca="1">IF(A22=0,-Capitalization!D$19,IF(A22&lt;=Inputs!$B$21,0,I22*J22-IF(AND(A22=Inputs!$B$22,Capitalization!D$18&gt;0),Inputs!$B$23,0)))</f>
        <v>6.7586054105803024</v>
      </c>
      <c r="L22" s="65">
        <f t="shared" si="2"/>
        <v>1.4686252872188861</v>
      </c>
      <c r="M22" s="55">
        <f>IF(A22=0,-Capitalization!D$4,IF(A22&lt;=Inputs!$B$21,0,G22))</f>
        <v>21.723898155485713</v>
      </c>
    </row>
    <row r="23" spans="1:13" ht="15" customHeight="1" x14ac:dyDescent="0.2">
      <c r="A23" s="44">
        <v>18</v>
      </c>
      <c r="B23" s="44" t="str">
        <f>IF(A23=0,"Equity",IF(A23&lt;=Inputs!$B$21,"Construction",IF(A23&lt;=Inputs!$B$21+Inputs!$B$5,"Queue wait",IF(A23&lt;=Inputs!$B$21+Configurations!$C$15,"Grid ops"," "))))</f>
        <v>Grid ops</v>
      </c>
      <c r="C23" s="44">
        <f>IF(A23&lt;=Inputs!$B$21,"",A23-Inputs!$B$21-1)</f>
        <v>15</v>
      </c>
      <c r="D23" s="56">
        <f>IF(OR(A23&lt;=Inputs!$B$21,A23&gt;Inputs!$B$21+Configurations!$C$15),0,Configurations!$C$4*Configurations!$C$5*8760*(1-Configurations!$C$6)^C23*Configurations!$C$7*(1-Configurations!$C$8))</f>
        <v>417731.64635046158</v>
      </c>
      <c r="E23" s="55">
        <f>IF(OR(A23&lt;=Inputs!$B$21,A23&gt;Inputs!$B$21+Configurations!$C$15),0,IF(A23&lt;=Inputs!$B$21+Inputs!$B$5,0,D23*Inputs!$B$18/1000000))</f>
        <v>30.076678537233235</v>
      </c>
      <c r="F23" s="55">
        <f>IF(OR(A23&lt;=Inputs!$B$21,A23&gt;Inputs!$B$21+Configurations!$C$15),0,IF(A23&lt;=Inputs!$B$21+Inputs!$B$5,Configurations!$C$13,Configurations!$C$12+Configurations!$C$13+Inputs!$B$20*E23))</f>
        <v>8.4121501780584982</v>
      </c>
      <c r="G23" s="55">
        <f t="shared" si="0"/>
        <v>21.664528359174739</v>
      </c>
      <c r="H23" s="63">
        <f>IF(AND(A23&gt;Inputs!$B$21,A23&lt;=Inputs!$B$21+Inputs!$B$12),Capitalization!D$12,0)</f>
        <v>14.791995170275147</v>
      </c>
      <c r="I23" s="55">
        <f t="shared" si="1"/>
        <v>6.8725331888995917</v>
      </c>
      <c r="J23" s="64">
        <f ca="1">IF(A23&lt;=Inputs!$B$21,"",IF(AND(A23&lt;=Inputs!$B$22,Capitalization!D$18&gt;0),Inputs!$B$25,Inputs!$B$26))</f>
        <v>0.97499999999999998</v>
      </c>
      <c r="K23" s="55">
        <f ca="1">IF(A23=0,-Capitalization!D$19,IF(A23&lt;=Inputs!$B$21,0,I23*J23-IF(AND(A23=Inputs!$B$22,Capitalization!D$18&gt;0),Inputs!$B$23,0)))</f>
        <v>6.7007198591771022</v>
      </c>
      <c r="L23" s="65">
        <f t="shared" si="2"/>
        <v>1.464611643648323</v>
      </c>
      <c r="M23" s="55">
        <f>IF(A23=0,-Capitalization!D$4,IF(A23&lt;=Inputs!$B$21,0,G23))</f>
        <v>21.664528359174739</v>
      </c>
    </row>
    <row r="24" spans="1:13" ht="15" customHeight="1" x14ac:dyDescent="0.2">
      <c r="A24" s="44">
        <v>19</v>
      </c>
      <c r="B24" s="44" t="str">
        <f>IF(A24=0,"Equity",IF(A24&lt;=Inputs!$B$21,"Construction",IF(A24&lt;=Inputs!$B$21+Inputs!$B$5,"Queue wait",IF(A24&lt;=Inputs!$B$21+Configurations!$C$15,"Grid ops"," "))))</f>
        <v>Grid ops</v>
      </c>
      <c r="C24" s="44">
        <f>IF(A24&lt;=Inputs!$B$21,"",A24-Inputs!$B$21-1)</f>
        <v>16</v>
      </c>
      <c r="D24" s="56">
        <f>IF(OR(A24&lt;=Inputs!$B$21,A24&gt;Inputs!$B$21+Configurations!$C$15),0,Configurations!$C$4*Configurations!$C$5*8760*(1-Configurations!$C$6)^C24*Configurations!$C$7*(1-Configurations!$C$8))</f>
        <v>416896.18305776076</v>
      </c>
      <c r="E24" s="55">
        <f>IF(OR(A24&lt;=Inputs!$B$21,A24&gt;Inputs!$B$21+Configurations!$C$15),0,IF(A24&lt;=Inputs!$B$21+Inputs!$B$5,0,D24*Inputs!$B$18/1000000))</f>
        <v>30.016525180158776</v>
      </c>
      <c r="F24" s="55">
        <f>IF(OR(A24&lt;=Inputs!$B$21,A24&gt;Inputs!$B$21+Configurations!$C$15),0,IF(A24&lt;=Inputs!$B$21+Inputs!$B$5,Configurations!$C$13,Configurations!$C$12+Configurations!$C$13+Inputs!$B$20*E24))</f>
        <v>8.4112478777023814</v>
      </c>
      <c r="G24" s="55">
        <f t="shared" si="0"/>
        <v>21.605277302456393</v>
      </c>
      <c r="H24" s="63">
        <f>IF(AND(A24&gt;Inputs!$B$21,A24&lt;=Inputs!$B$21+Inputs!$B$12),Capitalization!D$12,0)</f>
        <v>14.791995170275147</v>
      </c>
      <c r="I24" s="55">
        <f t="shared" si="1"/>
        <v>6.8132821321812465</v>
      </c>
      <c r="J24" s="64">
        <f ca="1">IF(A24&lt;=Inputs!$B$21,"",IF(AND(A24&lt;=Inputs!$B$22,Capitalization!D$18&gt;0),Inputs!$B$25,Inputs!$B$26))</f>
        <v>0.97499999999999998</v>
      </c>
      <c r="K24" s="55">
        <f ca="1">IF(A24=0,-Capitalization!D$19,IF(A24&lt;=Inputs!$B$21,0,I24*J24-IF(AND(A24=Inputs!$B$22,Capitalization!D$18&gt;0),Inputs!$B$23,0)))</f>
        <v>6.6429500788767148</v>
      </c>
      <c r="L24" s="65">
        <f t="shared" si="2"/>
        <v>1.4606060273649015</v>
      </c>
      <c r="M24" s="55">
        <f>IF(A24=0,-Capitalization!D$4,IF(A24&lt;=Inputs!$B$21,0,G24))</f>
        <v>21.605277302456393</v>
      </c>
    </row>
    <row r="25" spans="1:13" ht="15" customHeight="1" x14ac:dyDescent="0.2">
      <c r="A25" s="44">
        <v>20</v>
      </c>
      <c r="B25" s="44" t="str">
        <f>IF(A25=0,"Equity",IF(A25&lt;=Inputs!$B$21,"Construction",IF(A25&lt;=Inputs!$B$21+Inputs!$B$5,"Queue wait",IF(A25&lt;=Inputs!$B$21+Configurations!$C$15,"Grid ops"," "))))</f>
        <v>Grid ops</v>
      </c>
      <c r="C25" s="44">
        <f>IF(A25&lt;=Inputs!$B$21,"",A25-Inputs!$B$21-1)</f>
        <v>17</v>
      </c>
      <c r="D25" s="56">
        <f>IF(OR(A25&lt;=Inputs!$B$21,A25&gt;Inputs!$B$21+Configurations!$C$15),0,Configurations!$C$4*Configurations!$C$5*8760*(1-Configurations!$C$6)^C25*Configurations!$C$7*(1-Configurations!$C$8))</f>
        <v>416062.39069164521</v>
      </c>
      <c r="E25" s="55">
        <f>IF(OR(A25&lt;=Inputs!$B$21,A25&gt;Inputs!$B$21+Configurations!$C$15),0,IF(A25&lt;=Inputs!$B$21+Inputs!$B$5,0,D25*Inputs!$B$18/1000000))</f>
        <v>29.956492129798455</v>
      </c>
      <c r="F25" s="55">
        <f>IF(OR(A25&lt;=Inputs!$B$21,A25&gt;Inputs!$B$21+Configurations!$C$15),0,IF(A25&lt;=Inputs!$B$21+Inputs!$B$5,Configurations!$C$13,Configurations!$C$12+Configurations!$C$13+Inputs!$B$20*E25))</f>
        <v>8.410347381946977</v>
      </c>
      <c r="G25" s="55">
        <f t="shared" si="0"/>
        <v>21.546144747851478</v>
      </c>
      <c r="H25" s="63">
        <f>IF(AND(A25&gt;Inputs!$B$21,A25&lt;=Inputs!$B$21+Inputs!$B$12),Capitalization!D$12,0)</f>
        <v>14.791995170275147</v>
      </c>
      <c r="I25" s="55">
        <f t="shared" si="1"/>
        <v>6.7541495775763316</v>
      </c>
      <c r="J25" s="64">
        <f ca="1">IF(A25&lt;=Inputs!$B$21,"",IF(AND(A25&lt;=Inputs!$B$22,Capitalization!D$18&gt;0),Inputs!$B$25,Inputs!$B$26))</f>
        <v>0.97499999999999998</v>
      </c>
      <c r="K25" s="55">
        <f ca="1">IF(A25=0,-Capitalization!D$19,IF(A25&lt;=Inputs!$B$21,0,I25*J25-IF(AND(A25=Inputs!$B$22,Capitalization!D$18&gt;0),Inputs!$B$23,0)))</f>
        <v>6.5852958381369229</v>
      </c>
      <c r="L25" s="65">
        <f t="shared" si="2"/>
        <v>1.4566084223140465</v>
      </c>
      <c r="M25" s="55">
        <f>IF(A25=0,-Capitalization!D$4,IF(A25&lt;=Inputs!$B$21,0,G25))</f>
        <v>21.546144747851478</v>
      </c>
    </row>
    <row r="26" spans="1:13" ht="15" customHeight="1" x14ac:dyDescent="0.2">
      <c r="A26" s="44">
        <v>21</v>
      </c>
      <c r="B26" s="44" t="str">
        <f>IF(A26=0,"Equity",IF(A26&lt;=Inputs!$B$21,"Construction",IF(A26&lt;=Inputs!$B$21+Inputs!$B$5,"Queue wait",IF(A26&lt;=Inputs!$B$21+Configurations!$C$15,"Grid ops"," "))))</f>
        <v>Grid ops</v>
      </c>
      <c r="C26" s="44">
        <f>IF(A26&lt;=Inputs!$B$21,"",A26-Inputs!$B$21-1)</f>
        <v>18</v>
      </c>
      <c r="D26" s="56">
        <f>IF(OR(A26&lt;=Inputs!$B$21,A26&gt;Inputs!$B$21+Configurations!$C$15),0,Configurations!$C$4*Configurations!$C$5*8760*(1-Configurations!$C$6)^C26*Configurations!$C$7*(1-Configurations!$C$8))</f>
        <v>415230.26591026189</v>
      </c>
      <c r="E26" s="55">
        <f>IF(OR(A26&lt;=Inputs!$B$21,A26&gt;Inputs!$B$21+Configurations!$C$15),0,IF(A26&lt;=Inputs!$B$21+Inputs!$B$5,0,D26*Inputs!$B$18/1000000))</f>
        <v>29.896579145538855</v>
      </c>
      <c r="F26" s="55">
        <f>IF(OR(A26&lt;=Inputs!$B$21,A26&gt;Inputs!$B$21+Configurations!$C$15),0,IF(A26&lt;=Inputs!$B$21+Inputs!$B$5,Configurations!$C$13,Configurations!$C$12+Configurations!$C$13+Inputs!$B$20*E26))</f>
        <v>8.4094486871830831</v>
      </c>
      <c r="G26" s="55">
        <f t="shared" si="0"/>
        <v>21.487130458355772</v>
      </c>
      <c r="H26" s="63">
        <f>IF(AND(A26&gt;Inputs!$B$21,A26&lt;=Inputs!$B$21+Inputs!$B$12),Capitalization!D$12,0)</f>
        <v>14.791995170275147</v>
      </c>
      <c r="I26" s="55">
        <f t="shared" si="1"/>
        <v>6.6951352880806247</v>
      </c>
      <c r="J26" s="64">
        <f ca="1">IF(A26&lt;=Inputs!$B$21,"",IF(AND(A26&lt;=Inputs!$B$22,Capitalization!D$18&gt;0),Inputs!$B$25,Inputs!$B$26))</f>
        <v>0.97499999999999998</v>
      </c>
      <c r="K26" s="55">
        <f ca="1">IF(A26=0,-Capitalization!D$19,IF(A26&lt;=Inputs!$B$21,0,I26*J26-IF(AND(A26=Inputs!$B$22,Capitalization!D$18&gt;0),Inputs!$B$23,0)))</f>
        <v>6.5277569058786087</v>
      </c>
      <c r="L26" s="65">
        <f t="shared" si="2"/>
        <v>1.4526188124732931</v>
      </c>
      <c r="M26" s="55">
        <f>IF(A26=0,-Capitalization!D$4,IF(A26&lt;=Inputs!$B$21,0,G26))</f>
        <v>21.487130458355772</v>
      </c>
    </row>
    <row r="27" spans="1:13" ht="15" customHeight="1" x14ac:dyDescent="0.2">
      <c r="A27" s="44">
        <v>22</v>
      </c>
      <c r="B27" s="44" t="str">
        <f>IF(A27=0,"Equity",IF(A27&lt;=Inputs!$B$21,"Construction",IF(A27&lt;=Inputs!$B$21+Inputs!$B$5,"Queue wait",IF(A27&lt;=Inputs!$B$21+Configurations!$C$15,"Grid ops"," "))))</f>
        <v>Grid ops</v>
      </c>
      <c r="C27" s="44">
        <f>IF(A27&lt;=Inputs!$B$21,"",A27-Inputs!$B$21-1)</f>
        <v>19</v>
      </c>
      <c r="D27" s="56">
        <f>IF(OR(A27&lt;=Inputs!$B$21,A27&gt;Inputs!$B$21+Configurations!$C$15),0,Configurations!$C$4*Configurations!$C$5*8760*(1-Configurations!$C$6)^C27*Configurations!$C$7*(1-Configurations!$C$8))</f>
        <v>414399.80537844135</v>
      </c>
      <c r="E27" s="55">
        <f>IF(OR(A27&lt;=Inputs!$B$21,A27&gt;Inputs!$B$21+Configurations!$C$15),0,IF(A27&lt;=Inputs!$B$21+Inputs!$B$5,0,D27*Inputs!$B$18/1000000))</f>
        <v>29.836785987247776</v>
      </c>
      <c r="F27" s="55">
        <f>IF(OR(A27&lt;=Inputs!$B$21,A27&gt;Inputs!$B$21+Configurations!$C$15),0,IF(A27&lt;=Inputs!$B$21+Inputs!$B$5,Configurations!$C$13,Configurations!$C$12+Configurations!$C$13+Inputs!$B$20*E27))</f>
        <v>8.4085517898087172</v>
      </c>
      <c r="G27" s="55">
        <f t="shared" si="0"/>
        <v>21.42823419743906</v>
      </c>
      <c r="H27" s="63">
        <f>IF(AND(A27&gt;Inputs!$B$21,A27&lt;=Inputs!$B$21+Inputs!$B$12),Capitalization!D$12,0)</f>
        <v>14.791995170275147</v>
      </c>
      <c r="I27" s="55">
        <f t="shared" si="1"/>
        <v>6.6362390271639136</v>
      </c>
      <c r="J27" s="64">
        <f ca="1">IF(A27&lt;=Inputs!$B$21,"",IF(AND(A27&lt;=Inputs!$B$22,Capitalization!D$18&gt;0),Inputs!$B$25,Inputs!$B$26))</f>
        <v>0.97499999999999998</v>
      </c>
      <c r="K27" s="55">
        <f ca="1">IF(A27=0,-Capitalization!D$19,IF(A27&lt;=Inputs!$B$21,0,I27*J27-IF(AND(A27=Inputs!$B$22,Capitalization!D$18&gt;0),Inputs!$B$23,0)))</f>
        <v>6.4703330514848156</v>
      </c>
      <c r="L27" s="65">
        <f t="shared" si="2"/>
        <v>1.4486371818522215</v>
      </c>
      <c r="M27" s="55">
        <f>IF(A27=0,-Capitalization!D$4,IF(A27&lt;=Inputs!$B$21,0,G27))</f>
        <v>21.42823419743906</v>
      </c>
    </row>
    <row r="28" spans="1:13" ht="15" customHeight="1" x14ac:dyDescent="0.2">
      <c r="A28" s="44">
        <v>23</v>
      </c>
      <c r="B28" s="44" t="str">
        <f>IF(A28=0,"Equity",IF(A28&lt;=Inputs!$B$21,"Construction",IF(A28&lt;=Inputs!$B$21+Inputs!$B$5,"Queue wait",IF(A28&lt;=Inputs!$B$21+Configurations!$C$15,"Grid ops"," "))))</f>
        <v>Grid ops</v>
      </c>
      <c r="C28" s="44">
        <f>IF(A28&lt;=Inputs!$B$21,"",A28-Inputs!$B$21-1)</f>
        <v>20</v>
      </c>
      <c r="D28" s="56">
        <f>IF(OR(A28&lt;=Inputs!$B$21,A28&gt;Inputs!$B$21+Configurations!$C$15),0,Configurations!$C$4*Configurations!$C$5*8760*(1-Configurations!$C$6)^C28*Configurations!$C$7*(1-Configurations!$C$8))</f>
        <v>413571.00576768449</v>
      </c>
      <c r="E28" s="55">
        <f>IF(OR(A28&lt;=Inputs!$B$21,A28&gt;Inputs!$B$21+Configurations!$C$15),0,IF(A28&lt;=Inputs!$B$21+Inputs!$B$5,0,D28*Inputs!$B$18/1000000))</f>
        <v>29.777112415273283</v>
      </c>
      <c r="F28" s="55">
        <f>IF(OR(A28&lt;=Inputs!$B$21,A28&gt;Inputs!$B$21+Configurations!$C$15),0,IF(A28&lt;=Inputs!$B$21+Inputs!$B$5,Configurations!$C$13,Configurations!$C$12+Configurations!$C$13+Inputs!$B$20*E28))</f>
        <v>8.4076566862290996</v>
      </c>
      <c r="G28" s="55">
        <f t="shared" si="0"/>
        <v>21.369455729044184</v>
      </c>
      <c r="H28" s="63">
        <f>IF(AND(A28&gt;Inputs!$B$21,A28&lt;=Inputs!$B$21+Inputs!$B$12),Capitalization!D$12,0)</f>
        <v>0</v>
      </c>
      <c r="I28" s="55">
        <f t="shared" si="1"/>
        <v>21.369455729044184</v>
      </c>
      <c r="J28" s="64">
        <f ca="1">IF(A28&lt;=Inputs!$B$21,"",IF(AND(A28&lt;=Inputs!$B$22,Capitalization!D$18&gt;0),Inputs!$B$25,Inputs!$B$26))</f>
        <v>0.97499999999999998</v>
      </c>
      <c r="K28" s="55">
        <f ca="1">IF(A28=0,-Capitalization!D$19,IF(A28&lt;=Inputs!$B$21,0,I28*J28-IF(AND(A28=Inputs!$B$22,Capitalization!D$18&gt;0),Inputs!$B$23,0)))</f>
        <v>20.835219335818078</v>
      </c>
      <c r="L28" s="65" t="str">
        <f t="shared" si="2"/>
        <v/>
      </c>
      <c r="M28" s="55">
        <f>IF(A28=0,-Capitalization!D$4,IF(A28&lt;=Inputs!$B$21,0,G28))</f>
        <v>21.369455729044184</v>
      </c>
    </row>
    <row r="29" spans="1:13" ht="15" customHeight="1" x14ac:dyDescent="0.2">
      <c r="A29" s="44">
        <v>24</v>
      </c>
      <c r="B29" s="44" t="str">
        <f>IF(A29=0,"Equity",IF(A29&lt;=Inputs!$B$21,"Construction",IF(A29&lt;=Inputs!$B$21+Inputs!$B$5,"Queue wait",IF(A29&lt;=Inputs!$B$21+Configurations!$C$15,"Grid ops"," "))))</f>
        <v>Grid ops</v>
      </c>
      <c r="C29" s="44">
        <f>IF(A29&lt;=Inputs!$B$21,"",A29-Inputs!$B$21-1)</f>
        <v>21</v>
      </c>
      <c r="D29" s="56">
        <f>IF(OR(A29&lt;=Inputs!$B$21,A29&gt;Inputs!$B$21+Configurations!$C$15),0,Configurations!$C$4*Configurations!$C$5*8760*(1-Configurations!$C$6)^C29*Configurations!$C$7*(1-Configurations!$C$8))</f>
        <v>412743.86375614913</v>
      </c>
      <c r="E29" s="55">
        <f>IF(OR(A29&lt;=Inputs!$B$21,A29&gt;Inputs!$B$21+Configurations!$C$15),0,IF(A29&lt;=Inputs!$B$21+Inputs!$B$5,0,D29*Inputs!$B$18/1000000))</f>
        <v>29.717558190442737</v>
      </c>
      <c r="F29" s="55">
        <f>IF(OR(A29&lt;=Inputs!$B$21,A29&gt;Inputs!$B$21+Configurations!$C$15),0,IF(A29&lt;=Inputs!$B$21+Inputs!$B$5,Configurations!$C$13,Configurations!$C$12+Configurations!$C$13+Inputs!$B$20*E29))</f>
        <v>8.4067633728566413</v>
      </c>
      <c r="G29" s="55">
        <f t="shared" si="0"/>
        <v>21.310794817586096</v>
      </c>
      <c r="H29" s="63">
        <f>IF(AND(A29&gt;Inputs!$B$21,A29&lt;=Inputs!$B$21+Inputs!$B$12),Capitalization!D$12,0)</f>
        <v>0</v>
      </c>
      <c r="I29" s="55">
        <f t="shared" si="1"/>
        <v>21.310794817586096</v>
      </c>
      <c r="J29" s="64">
        <f ca="1">IF(A29&lt;=Inputs!$B$21,"",IF(AND(A29&lt;=Inputs!$B$22,Capitalization!D$18&gt;0),Inputs!$B$25,Inputs!$B$26))</f>
        <v>0.97499999999999998</v>
      </c>
      <c r="K29" s="55">
        <f ca="1">IF(A29=0,-Capitalization!D$19,IF(A29&lt;=Inputs!$B$21,0,I29*J29-IF(AND(A29=Inputs!$B$22,Capitalization!D$18&gt;0),Inputs!$B$23,0)))</f>
        <v>20.778024947146442</v>
      </c>
      <c r="L29" s="65" t="str">
        <f t="shared" si="2"/>
        <v/>
      </c>
      <c r="M29" s="55">
        <f>IF(A29=0,-Capitalization!D$4,IF(A29&lt;=Inputs!$B$21,0,G29))</f>
        <v>21.310794817586096</v>
      </c>
    </row>
    <row r="30" spans="1:13" ht="15" customHeight="1" x14ac:dyDescent="0.2">
      <c r="A30" s="44">
        <v>25</v>
      </c>
      <c r="B30" s="44" t="str">
        <f>IF(A30=0,"Equity",IF(A30&lt;=Inputs!$B$21,"Construction",IF(A30&lt;=Inputs!$B$21+Inputs!$B$5,"Queue wait",IF(A30&lt;=Inputs!$B$21+Configurations!$C$15,"Grid ops"," "))))</f>
        <v>Grid ops</v>
      </c>
      <c r="C30" s="44">
        <f>IF(A30&lt;=Inputs!$B$21,"",A30-Inputs!$B$21-1)</f>
        <v>22</v>
      </c>
      <c r="D30" s="56">
        <f>IF(OR(A30&lt;=Inputs!$B$21,A30&gt;Inputs!$B$21+Configurations!$C$15),0,Configurations!$C$4*Configurations!$C$5*8760*(1-Configurations!$C$6)^C30*Configurations!$C$7*(1-Configurations!$C$8))</f>
        <v>411918.37602863688</v>
      </c>
      <c r="E30" s="55">
        <f>IF(OR(A30&lt;=Inputs!$B$21,A30&gt;Inputs!$B$21+Configurations!$C$15),0,IF(A30&lt;=Inputs!$B$21+Inputs!$B$5,0,D30*Inputs!$B$18/1000000))</f>
        <v>29.658123074061855</v>
      </c>
      <c r="F30" s="55">
        <f>IF(OR(A30&lt;=Inputs!$B$21,A30&gt;Inputs!$B$21+Configurations!$C$15),0,IF(A30&lt;=Inputs!$B$21+Inputs!$B$5,Configurations!$C$13,Configurations!$C$12+Configurations!$C$13+Inputs!$B$20*E30))</f>
        <v>8.4058718461109283</v>
      </c>
      <c r="G30" s="55">
        <f t="shared" si="0"/>
        <v>21.252251227950929</v>
      </c>
      <c r="H30" s="63">
        <f>IF(AND(A30&gt;Inputs!$B$21,A30&lt;=Inputs!$B$21+Inputs!$B$12),Capitalization!D$12,0)</f>
        <v>0</v>
      </c>
      <c r="I30" s="55">
        <f t="shared" si="1"/>
        <v>21.252251227950929</v>
      </c>
      <c r="J30" s="64">
        <f ca="1">IF(A30&lt;=Inputs!$B$21,"",IF(AND(A30&lt;=Inputs!$B$22,Capitalization!D$18&gt;0),Inputs!$B$25,Inputs!$B$26))</f>
        <v>0.97499999999999998</v>
      </c>
      <c r="K30" s="55">
        <f ca="1">IF(A30=0,-Capitalization!D$19,IF(A30&lt;=Inputs!$B$21,0,I30*J30-IF(AND(A30=Inputs!$B$22,Capitalization!D$18&gt;0),Inputs!$B$23,0)))</f>
        <v>20.720944947252153</v>
      </c>
      <c r="L30" s="65" t="str">
        <f t="shared" si="2"/>
        <v/>
      </c>
      <c r="M30" s="55">
        <f>IF(A30=0,-Capitalization!D$4,IF(A30&lt;=Inputs!$B$21,0,G30))</f>
        <v>21.252251227950929</v>
      </c>
    </row>
    <row r="31" spans="1:13" ht="15" customHeight="1" x14ac:dyDescent="0.2">
      <c r="A31" s="44">
        <v>26</v>
      </c>
      <c r="B31" s="44" t="str">
        <f>IF(A31=0,"Equity",IF(A31&lt;=Inputs!$B$21,"Construction",IF(A31&lt;=Inputs!$B$21+Inputs!$B$5,"Queue wait",IF(A31&lt;=Inputs!$B$21+Configurations!$C$15,"Grid ops"," "))))</f>
        <v>Grid ops</v>
      </c>
      <c r="C31" s="44">
        <f>IF(A31&lt;=Inputs!$B$21,"",A31-Inputs!$B$21-1)</f>
        <v>23</v>
      </c>
      <c r="D31" s="56">
        <f>IF(OR(A31&lt;=Inputs!$B$21,A31&gt;Inputs!$B$21+Configurations!$C$15),0,Configurations!$C$4*Configurations!$C$5*8760*(1-Configurations!$C$6)^C31*Configurations!$C$7*(1-Configurations!$C$8))</f>
        <v>411094.53927657957</v>
      </c>
      <c r="E31" s="55">
        <f>IF(OR(A31&lt;=Inputs!$B$21,A31&gt;Inputs!$B$21+Configurations!$C$15),0,IF(A31&lt;=Inputs!$B$21+Inputs!$B$5,0,D31*Inputs!$B$18/1000000))</f>
        <v>29.598806827913727</v>
      </c>
      <c r="F31" s="55">
        <f>IF(OR(A31&lt;=Inputs!$B$21,A31&gt;Inputs!$B$21+Configurations!$C$15),0,IF(A31&lt;=Inputs!$B$21+Inputs!$B$5,Configurations!$C$13,Configurations!$C$12+Configurations!$C$13+Inputs!$B$20*E31))</f>
        <v>8.4049821024187068</v>
      </c>
      <c r="G31" s="55">
        <f t="shared" si="0"/>
        <v>21.19382472549502</v>
      </c>
      <c r="H31" s="63">
        <f>IF(AND(A31&gt;Inputs!$B$21,A31&lt;=Inputs!$B$21+Inputs!$B$12),Capitalization!D$12,0)</f>
        <v>0</v>
      </c>
      <c r="I31" s="55">
        <f t="shared" si="1"/>
        <v>21.19382472549502</v>
      </c>
      <c r="J31" s="64">
        <f ca="1">IF(A31&lt;=Inputs!$B$21,"",IF(AND(A31&lt;=Inputs!$B$22,Capitalization!D$18&gt;0),Inputs!$B$25,Inputs!$B$26))</f>
        <v>0.97499999999999998</v>
      </c>
      <c r="K31" s="55">
        <f ca="1">IF(A31=0,-Capitalization!D$19,IF(A31&lt;=Inputs!$B$21,0,I31*J31-IF(AND(A31=Inputs!$B$22,Capitalization!D$18&gt;0),Inputs!$B$23,0)))</f>
        <v>20.663979107357644</v>
      </c>
      <c r="L31" s="65" t="str">
        <f t="shared" si="2"/>
        <v/>
      </c>
      <c r="M31" s="55">
        <f>IF(A31=0,-Capitalization!D$4,IF(A31&lt;=Inputs!$B$21,0,G31))</f>
        <v>21.19382472549502</v>
      </c>
    </row>
    <row r="32" spans="1:13" ht="15" customHeight="1" x14ac:dyDescent="0.2">
      <c r="A32" s="44">
        <v>27</v>
      </c>
      <c r="B32" s="44" t="str">
        <f>IF(A32=0,"Equity",IF(A32&lt;=Inputs!$B$21,"Construction",IF(A32&lt;=Inputs!$B$21+Inputs!$B$5,"Queue wait",IF(A32&lt;=Inputs!$B$21+Configurations!$C$15,"Grid ops"," "))))</f>
        <v>Grid ops</v>
      </c>
      <c r="C32" s="44">
        <f>IF(A32&lt;=Inputs!$B$21,"",A32-Inputs!$B$21-1)</f>
        <v>24</v>
      </c>
      <c r="D32" s="56">
        <f>IF(OR(A32&lt;=Inputs!$B$21,A32&gt;Inputs!$B$21+Configurations!$C$15),0,Configurations!$C$4*Configurations!$C$5*8760*(1-Configurations!$C$6)^C32*Configurations!$C$7*(1-Configurations!$C$8))</f>
        <v>410272.35019802646</v>
      </c>
      <c r="E32" s="55">
        <f>IF(OR(A32&lt;=Inputs!$B$21,A32&gt;Inputs!$B$21+Configurations!$C$15),0,IF(A32&lt;=Inputs!$B$21+Inputs!$B$5,0,D32*Inputs!$B$18/1000000))</f>
        <v>29.539609214257904</v>
      </c>
      <c r="F32" s="55">
        <f>IF(OR(A32&lt;=Inputs!$B$21,A32&gt;Inputs!$B$21+Configurations!$C$15),0,IF(A32&lt;=Inputs!$B$21+Inputs!$B$5,Configurations!$C$13,Configurations!$C$12+Configurations!$C$13+Inputs!$B$20*E32))</f>
        <v>8.4040941382138694</v>
      </c>
      <c r="G32" s="55">
        <f t="shared" si="0"/>
        <v>21.135515076044037</v>
      </c>
      <c r="H32" s="63">
        <f>IF(AND(A32&gt;Inputs!$B$21,A32&lt;=Inputs!$B$21+Inputs!$B$12),Capitalization!D$12,0)</f>
        <v>0</v>
      </c>
      <c r="I32" s="55">
        <f t="shared" si="1"/>
        <v>21.135515076044037</v>
      </c>
      <c r="J32" s="64">
        <f ca="1">IF(A32&lt;=Inputs!$B$21,"",IF(AND(A32&lt;=Inputs!$B$22,Capitalization!D$18&gt;0),Inputs!$B$25,Inputs!$B$26))</f>
        <v>0.97499999999999998</v>
      </c>
      <c r="K32" s="55">
        <f ca="1">IF(A32=0,-Capitalization!D$19,IF(A32&lt;=Inputs!$B$21,0,I32*J32-IF(AND(A32=Inputs!$B$22,Capitalization!D$18&gt;0),Inputs!$B$23,0)))</f>
        <v>20.607127199142937</v>
      </c>
      <c r="L32" s="65" t="str">
        <f t="shared" si="2"/>
        <v/>
      </c>
      <c r="M32" s="55">
        <f>IF(A32=0,-Capitalization!D$4,IF(A32&lt;=Inputs!$B$21,0,G32))</f>
        <v>21.135515076044037</v>
      </c>
    </row>
    <row r="33" spans="1:13" ht="15" customHeight="1" x14ac:dyDescent="0.2">
      <c r="A33" s="44">
        <v>28</v>
      </c>
      <c r="B33" s="44" t="str">
        <f>IF(A33=0,"Equity",IF(A33&lt;=Inputs!$B$21,"Construction",IF(A33&lt;=Inputs!$B$21+Inputs!$B$5,"Queue wait",IF(A33&lt;=Inputs!$B$21+Configurations!$C$15,"Grid ops"," "))))</f>
        <v xml:space="preserve"> </v>
      </c>
      <c r="C33" s="44">
        <f>IF(A33&lt;=Inputs!$B$21,"",A33-Inputs!$B$21-1)</f>
        <v>25</v>
      </c>
      <c r="D33" s="56">
        <f>IF(OR(A33&lt;=Inputs!$B$21,A33&gt;Inputs!$B$21+Configurations!$C$15),0,Configurations!$C$4*Configurations!$C$5*8760*(1-Configurations!$C$6)^C33*Configurations!$C$7*(1-Configurations!$C$8))</f>
        <v>0</v>
      </c>
      <c r="E33" s="55">
        <f>IF(OR(A33&lt;=Inputs!$B$21,A33&gt;Inputs!$B$21+Configurations!$C$15),0,IF(A33&lt;=Inputs!$B$21+Inputs!$B$5,0,D33*Inputs!$B$18/1000000))</f>
        <v>0</v>
      </c>
      <c r="F33" s="55">
        <f>IF(OR(A33&lt;=Inputs!$B$21,A33&gt;Inputs!$B$21+Configurations!$C$15),0,IF(A33&lt;=Inputs!$B$21+Inputs!$B$5,Configurations!$C$13,Configurations!$C$12+Configurations!$C$13+Inputs!$B$20*E33))</f>
        <v>0</v>
      </c>
      <c r="G33" s="55">
        <f t="shared" si="0"/>
        <v>0</v>
      </c>
      <c r="H33" s="63">
        <f>IF(AND(A33&gt;Inputs!$B$21,A33&lt;=Inputs!$B$21+Inputs!$B$12),Capitalization!D$12,0)</f>
        <v>0</v>
      </c>
      <c r="I33" s="55">
        <f t="shared" si="1"/>
        <v>0</v>
      </c>
      <c r="J33" s="64">
        <f ca="1">IF(A33&lt;=Inputs!$B$21,"",IF(AND(A33&lt;=Inputs!$B$22,Capitalization!D$18&gt;0),Inputs!$B$25,Inputs!$B$26))</f>
        <v>0.97499999999999998</v>
      </c>
      <c r="K33" s="55">
        <f ca="1">IF(A33=0,-Capitalization!D$19,IF(A33&lt;=Inputs!$B$21,0,I33*J33-IF(AND(A33=Inputs!$B$22,Capitalization!D$18&gt;0),Inputs!$B$23,0)))</f>
        <v>0</v>
      </c>
      <c r="L33" s="65" t="str">
        <f t="shared" si="2"/>
        <v/>
      </c>
      <c r="M33" s="55">
        <f>IF(A33=0,-Capitalization!D$4,IF(A33&lt;=Inputs!$B$21,0,G33))</f>
        <v>0</v>
      </c>
    </row>
    <row r="34" spans="1:13" ht="15" customHeight="1" x14ac:dyDescent="0.2">
      <c r="A34" s="44">
        <v>29</v>
      </c>
      <c r="B34" s="44" t="str">
        <f>IF(A34=0,"Equity",IF(A34&lt;=Inputs!$B$21,"Construction",IF(A34&lt;=Inputs!$B$21+Inputs!$B$5,"Queue wait",IF(A34&lt;=Inputs!$B$21+Configurations!$C$15,"Grid ops"," "))))</f>
        <v xml:space="preserve"> </v>
      </c>
      <c r="C34" s="44">
        <f>IF(A34&lt;=Inputs!$B$21,"",A34-Inputs!$B$21-1)</f>
        <v>26</v>
      </c>
      <c r="D34" s="56">
        <f>IF(OR(A34&lt;=Inputs!$B$21,A34&gt;Inputs!$B$21+Configurations!$C$15),0,Configurations!$C$4*Configurations!$C$5*8760*(1-Configurations!$C$6)^C34*Configurations!$C$7*(1-Configurations!$C$8))</f>
        <v>0</v>
      </c>
      <c r="E34" s="55">
        <f>IF(OR(A34&lt;=Inputs!$B$21,A34&gt;Inputs!$B$21+Configurations!$C$15),0,IF(A34&lt;=Inputs!$B$21+Inputs!$B$5,0,D34*Inputs!$B$18/1000000))</f>
        <v>0</v>
      </c>
      <c r="F34" s="55">
        <f>IF(OR(A34&lt;=Inputs!$B$21,A34&gt;Inputs!$B$21+Configurations!$C$15),0,IF(A34&lt;=Inputs!$B$21+Inputs!$B$5,Configurations!$C$13,Configurations!$C$12+Configurations!$C$13+Inputs!$B$20*E34))</f>
        <v>0</v>
      </c>
      <c r="G34" s="55">
        <f t="shared" si="0"/>
        <v>0</v>
      </c>
      <c r="H34" s="63">
        <f>IF(AND(A34&gt;Inputs!$B$21,A34&lt;=Inputs!$B$21+Inputs!$B$12),Capitalization!D$12,0)</f>
        <v>0</v>
      </c>
      <c r="I34" s="55">
        <f t="shared" si="1"/>
        <v>0</v>
      </c>
      <c r="J34" s="64">
        <f ca="1">IF(A34&lt;=Inputs!$B$21,"",IF(AND(A34&lt;=Inputs!$B$22,Capitalization!D$18&gt;0),Inputs!$B$25,Inputs!$B$26))</f>
        <v>0.97499999999999998</v>
      </c>
      <c r="K34" s="55">
        <f ca="1">IF(A34=0,-Capitalization!D$19,IF(A34&lt;=Inputs!$B$21,0,I34*J34-IF(AND(A34=Inputs!$B$22,Capitalization!D$18&gt;0),Inputs!$B$23,0)))</f>
        <v>0</v>
      </c>
      <c r="L34" s="65" t="str">
        <f t="shared" si="2"/>
        <v/>
      </c>
      <c r="M34" s="55">
        <f>IF(A34=0,-Capitalization!D$4,IF(A34&lt;=Inputs!$B$21,0,G34))</f>
        <v>0</v>
      </c>
    </row>
    <row r="35" spans="1:13" ht="15" customHeight="1" x14ac:dyDescent="0.2">
      <c r="A35" s="44">
        <v>30</v>
      </c>
      <c r="B35" s="44" t="str">
        <f>IF(A35=0,"Equity",IF(A35&lt;=Inputs!$B$21,"Construction",IF(A35&lt;=Inputs!$B$21+Inputs!$B$5,"Queue wait",IF(A35&lt;=Inputs!$B$21+Configurations!$C$15,"Grid ops"," "))))</f>
        <v xml:space="preserve"> </v>
      </c>
      <c r="C35" s="44">
        <f>IF(A35&lt;=Inputs!$B$21,"",A35-Inputs!$B$21-1)</f>
        <v>27</v>
      </c>
      <c r="D35" s="56">
        <f>IF(OR(A35&lt;=Inputs!$B$21,A35&gt;Inputs!$B$21+Configurations!$C$15),0,Configurations!$C$4*Configurations!$C$5*8760*(1-Configurations!$C$6)^C35*Configurations!$C$7*(1-Configurations!$C$8))</f>
        <v>0</v>
      </c>
      <c r="E35" s="55">
        <f>IF(OR(A35&lt;=Inputs!$B$21,A35&gt;Inputs!$B$21+Configurations!$C$15),0,IF(A35&lt;=Inputs!$B$21+Inputs!$B$5,0,D35*Inputs!$B$18/1000000))</f>
        <v>0</v>
      </c>
      <c r="F35" s="55">
        <f>IF(OR(A35&lt;=Inputs!$B$21,A35&gt;Inputs!$B$21+Configurations!$C$15),0,IF(A35&lt;=Inputs!$B$21+Inputs!$B$5,Configurations!$C$13,Configurations!$C$12+Configurations!$C$13+Inputs!$B$20*E35))</f>
        <v>0</v>
      </c>
      <c r="G35" s="55">
        <f t="shared" si="0"/>
        <v>0</v>
      </c>
      <c r="H35" s="63">
        <f>IF(AND(A35&gt;Inputs!$B$21,A35&lt;=Inputs!$B$21+Inputs!$B$12),Capitalization!D$12,0)</f>
        <v>0</v>
      </c>
      <c r="I35" s="55">
        <f t="shared" si="1"/>
        <v>0</v>
      </c>
      <c r="J35" s="64">
        <f ca="1">IF(A35&lt;=Inputs!$B$21,"",IF(AND(A35&lt;=Inputs!$B$22,Capitalization!D$18&gt;0),Inputs!$B$25,Inputs!$B$26))</f>
        <v>0.97499999999999998</v>
      </c>
      <c r="K35" s="55">
        <f ca="1">IF(A35=0,-Capitalization!D$19,IF(A35&lt;=Inputs!$B$21,0,I35*J35-IF(AND(A35=Inputs!$B$22,Capitalization!D$18&gt;0),Inputs!$B$23,0)))</f>
        <v>0</v>
      </c>
      <c r="L35" s="65" t="str">
        <f t="shared" si="2"/>
        <v/>
      </c>
      <c r="M35" s="55">
        <f>IF(A35=0,-Capitalization!D$4,IF(A35&lt;=Inputs!$B$21,0,G35))</f>
        <v>0</v>
      </c>
    </row>
    <row r="36" spans="1:13" ht="15" customHeight="1" x14ac:dyDescent="0.2">
      <c r="A36" s="44">
        <v>31</v>
      </c>
      <c r="B36" s="44" t="str">
        <f>IF(A36=0,"Equity",IF(A36&lt;=Inputs!$B$21,"Construction",IF(A36&lt;=Inputs!$B$21+Inputs!$B$5,"Queue wait",IF(A36&lt;=Inputs!$B$21+Configurations!$C$15,"Grid ops"," "))))</f>
        <v xml:space="preserve"> </v>
      </c>
      <c r="C36" s="44">
        <f>IF(A36&lt;=Inputs!$B$21,"",A36-Inputs!$B$21-1)</f>
        <v>28</v>
      </c>
      <c r="D36" s="56">
        <f>IF(OR(A36&lt;=Inputs!$B$21,A36&gt;Inputs!$B$21+Configurations!$C$15),0,Configurations!$C$4*Configurations!$C$5*8760*(1-Configurations!$C$6)^C36*Configurations!$C$7*(1-Configurations!$C$8))</f>
        <v>0</v>
      </c>
      <c r="E36" s="55">
        <f>IF(OR(A36&lt;=Inputs!$B$21,A36&gt;Inputs!$B$21+Configurations!$C$15),0,IF(A36&lt;=Inputs!$B$21+Inputs!$B$5,0,D36*Inputs!$B$18/1000000))</f>
        <v>0</v>
      </c>
      <c r="F36" s="55">
        <f>IF(OR(A36&lt;=Inputs!$B$21,A36&gt;Inputs!$B$21+Configurations!$C$15),0,IF(A36&lt;=Inputs!$B$21+Inputs!$B$5,Configurations!$C$13,Configurations!$C$12+Configurations!$C$13+Inputs!$B$20*E36))</f>
        <v>0</v>
      </c>
      <c r="G36" s="55">
        <f t="shared" si="0"/>
        <v>0</v>
      </c>
      <c r="H36" s="63">
        <f>IF(AND(A36&gt;Inputs!$B$21,A36&lt;=Inputs!$B$21+Inputs!$B$12),Capitalization!D$12,0)</f>
        <v>0</v>
      </c>
      <c r="I36" s="55">
        <f t="shared" si="1"/>
        <v>0</v>
      </c>
      <c r="J36" s="64">
        <f ca="1">IF(A36&lt;=Inputs!$B$21,"",IF(AND(A36&lt;=Inputs!$B$22,Capitalization!D$18&gt;0),Inputs!$B$25,Inputs!$B$26))</f>
        <v>0.97499999999999998</v>
      </c>
      <c r="K36" s="55">
        <f ca="1">IF(A36=0,-Capitalization!D$19,IF(A36&lt;=Inputs!$B$21,0,I36*J36-IF(AND(A36=Inputs!$B$22,Capitalization!D$18&gt;0),Inputs!$B$23,0)))</f>
        <v>0</v>
      </c>
      <c r="L36" s="65" t="str">
        <f t="shared" si="2"/>
        <v/>
      </c>
      <c r="M36" s="55">
        <f>IF(A36=0,-Capitalization!D$4,IF(A36&lt;=Inputs!$B$21,0,G36))</f>
        <v>0</v>
      </c>
    </row>
    <row r="37" spans="1:13" ht="15" customHeight="1" x14ac:dyDescent="0.2">
      <c r="A37" s="44">
        <v>32</v>
      </c>
      <c r="B37" s="44" t="str">
        <f>IF(A37=0,"Equity",IF(A37&lt;=Inputs!$B$21,"Construction",IF(A37&lt;=Inputs!$B$21+Inputs!$B$5,"Queue wait",IF(A37&lt;=Inputs!$B$21+Configurations!$C$15,"Grid ops"," "))))</f>
        <v xml:space="preserve"> </v>
      </c>
      <c r="C37" s="44">
        <f>IF(A37&lt;=Inputs!$B$21,"",A37-Inputs!$B$21-1)</f>
        <v>29</v>
      </c>
      <c r="D37" s="56">
        <f>IF(OR(A37&lt;=Inputs!$B$21,A37&gt;Inputs!$B$21+Configurations!$C$15),0,Configurations!$C$4*Configurations!$C$5*8760*(1-Configurations!$C$6)^C37*Configurations!$C$7*(1-Configurations!$C$8))</f>
        <v>0</v>
      </c>
      <c r="E37" s="55">
        <f>IF(OR(A37&lt;=Inputs!$B$21,A37&gt;Inputs!$B$21+Configurations!$C$15),0,IF(A37&lt;=Inputs!$B$21+Inputs!$B$5,0,D37*Inputs!$B$18/1000000))</f>
        <v>0</v>
      </c>
      <c r="F37" s="55">
        <f>IF(OR(A37&lt;=Inputs!$B$21,A37&gt;Inputs!$B$21+Configurations!$C$15),0,IF(A37&lt;=Inputs!$B$21+Inputs!$B$5,Configurations!$C$13,Configurations!$C$12+Configurations!$C$13+Inputs!$B$20*E37))</f>
        <v>0</v>
      </c>
      <c r="G37" s="55">
        <f t="shared" si="0"/>
        <v>0</v>
      </c>
      <c r="H37" s="63">
        <f>IF(AND(A37&gt;Inputs!$B$21,A37&lt;=Inputs!$B$21+Inputs!$B$12),Capitalization!D$12,0)</f>
        <v>0</v>
      </c>
      <c r="I37" s="55">
        <f t="shared" si="1"/>
        <v>0</v>
      </c>
      <c r="J37" s="64">
        <f ca="1">IF(A37&lt;=Inputs!$B$21,"",IF(AND(A37&lt;=Inputs!$B$22,Capitalization!D$18&gt;0),Inputs!$B$25,Inputs!$B$26))</f>
        <v>0.97499999999999998</v>
      </c>
      <c r="K37" s="55">
        <f ca="1">IF(A37=0,-Capitalization!D$19,IF(A37&lt;=Inputs!$B$21,0,I37*J37-IF(AND(A37=Inputs!$B$22,Capitalization!D$18&gt;0),Inputs!$B$23,0)))</f>
        <v>0</v>
      </c>
      <c r="L37" s="65" t="str">
        <f t="shared" si="2"/>
        <v/>
      </c>
      <c r="M37" s="55">
        <f>IF(A37=0,-Capitalization!D$4,IF(A37&lt;=Inputs!$B$21,0,G37))</f>
        <v>0</v>
      </c>
    </row>
  </sheetData>
  <phoneticPr fontId="22" type="noConversion"/>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7"/>
  <sheetViews>
    <sheetView zoomScaleNormal="100" workbookViewId="0"/>
  </sheetViews>
  <sheetFormatPr baseColWidth="10" defaultColWidth="8.6640625" defaultRowHeight="15" x14ac:dyDescent="0.2"/>
  <cols>
    <col min="1" max="1" width="6" customWidth="1"/>
    <col min="2" max="2" width="12" customWidth="1"/>
    <col min="4" max="13" width="13" customWidth="1"/>
  </cols>
  <sheetData>
    <row r="1" spans="1:13" ht="15.75" customHeight="1" x14ac:dyDescent="0.2">
      <c r="A1" s="7" t="s">
        <v>399</v>
      </c>
    </row>
    <row r="2" spans="1:13" ht="15" customHeight="1" x14ac:dyDescent="0.2">
      <c r="A2" s="57" t="s">
        <v>382</v>
      </c>
      <c r="B2" s="59">
        <f ca="1">IRR(K5:K37)</f>
        <v>0.24443197829527419</v>
      </c>
      <c r="C2" s="57" t="s">
        <v>383</v>
      </c>
      <c r="D2" s="60">
        <f ca="1">IRR(M5:M37)</f>
        <v>4.6035370406062759E-2</v>
      </c>
      <c r="E2" s="57" t="s">
        <v>384</v>
      </c>
      <c r="F2" s="61">
        <f ca="1">K5+NPV(Inputs!$B$24,K6:K37)</f>
        <v>58.25803084310941</v>
      </c>
    </row>
    <row r="4" spans="1:13" ht="26.25" customHeight="1" x14ac:dyDescent="0.2">
      <c r="A4" s="62" t="s">
        <v>64</v>
      </c>
      <c r="B4" s="62" t="s">
        <v>385</v>
      </c>
      <c r="C4" s="62" t="s">
        <v>386</v>
      </c>
      <c r="D4" s="62" t="s">
        <v>387</v>
      </c>
      <c r="E4" s="62" t="s">
        <v>388</v>
      </c>
      <c r="F4" s="62" t="s">
        <v>389</v>
      </c>
      <c r="G4" s="62" t="s">
        <v>390</v>
      </c>
      <c r="H4" s="62" t="s">
        <v>391</v>
      </c>
      <c r="I4" s="62" t="s">
        <v>392</v>
      </c>
      <c r="J4" s="62" t="s">
        <v>393</v>
      </c>
      <c r="K4" s="62" t="s">
        <v>394</v>
      </c>
      <c r="L4" s="62" t="s">
        <v>395</v>
      </c>
      <c r="M4" s="62" t="s">
        <v>396</v>
      </c>
    </row>
    <row r="5" spans="1:13" ht="15" customHeight="1" x14ac:dyDescent="0.2">
      <c r="A5" s="44">
        <v>0</v>
      </c>
      <c r="B5" s="44" t="str">
        <f>IF(A5=0,"Equity",IF(A5&lt;=Inputs!$B$21,"Construction",IF(A5&lt;=Inputs!$B$21+Inputs!$B$5,"Queue wait",IF(A5&lt;=Inputs!$B$21+Configurations!$C$15,"Grid ops"," "))))</f>
        <v>Equity</v>
      </c>
      <c r="C5" s="44" t="str">
        <f>IF(A5&lt;=Inputs!$B$21,"",A5-Inputs!$B$21-1)</f>
        <v/>
      </c>
      <c r="D5" s="56">
        <f>IF(OR(A5&lt;=Inputs!$B$21,A5&gt;Inputs!$B$21+Configurations!$C$15),0,Configurations!$C$4*Configurations!$C$5*8760*(1-Configurations!$C$6)^C5*Configurations!$C$7*(1-Configurations!$C$8))</f>
        <v>0</v>
      </c>
      <c r="E5" s="55">
        <f>IF(OR(A5&lt;=Inputs!$B$21,A5&gt;Inputs!$B$21+Configurations!$C$15),0,IF(A5&lt;=Inputs!$B$21+Inputs!$B$5,D5*(1-Inputs!$B$10)*Configurations!$C$16/1000000,D5*Inputs!$B$18/1000000))</f>
        <v>0</v>
      </c>
      <c r="F5" s="55">
        <f>IF(OR(A5&lt;=Inputs!$B$21,A5&gt;Inputs!$B$21+Configurations!$C$15),0,Configurations!$C$12+Configurations!$C$13+Configurations!$C$14+Inputs!$B$20*E5)</f>
        <v>0</v>
      </c>
      <c r="G5" s="55">
        <f t="shared" ref="G5:G37" si="0">E5-F5</f>
        <v>0</v>
      </c>
      <c r="H5" s="63">
        <f>IF(AND(A5&gt;Inputs!$B$21,A5&lt;=Inputs!$B$21+Inputs!$B$12),Capitalization!E$12,0)</f>
        <v>0</v>
      </c>
      <c r="I5" s="55">
        <f t="shared" ref="I5:I37" si="1">G5-H5</f>
        <v>0</v>
      </c>
      <c r="J5" s="64" t="str">
        <f>IF(A5&lt;=Inputs!$B$21,"",IF(AND(A5&lt;=Inputs!$B$22,Capitalization!E$18&gt;0),Inputs!$B$25,Inputs!$B$26))</f>
        <v/>
      </c>
      <c r="K5" s="55">
        <f ca="1">IF(A5=0,-Capitalization!E$19,IF(A5&lt;=Inputs!$B$21,0,I5*J5-IF(AND(A5=Inputs!$B$22,Capitalization!E$18&gt;0),Inputs!$B$23,0)))</f>
        <v>-31.643401835685822</v>
      </c>
      <c r="L5" s="65" t="str">
        <f t="shared" ref="L5:L37" si="2">IF(H5&gt;0,G5/H5,"")</f>
        <v/>
      </c>
      <c r="M5" s="55">
        <f>IF(A5=0,-Capitalization!E$4,IF(A5&lt;=Inputs!$B$21,0,G5))</f>
        <v>-339.4</v>
      </c>
    </row>
    <row r="6" spans="1:13" ht="15" customHeight="1" x14ac:dyDescent="0.2">
      <c r="A6" s="44">
        <v>1</v>
      </c>
      <c r="B6" s="44" t="str">
        <f>IF(A6=0,"Equity",IF(A6&lt;=Inputs!$B$21,"Construction",IF(A6&lt;=Inputs!$B$21+Inputs!$B$5,"Queue wait",IF(A6&lt;=Inputs!$B$21+Configurations!$C$15,"Grid ops"," "))))</f>
        <v>Construction</v>
      </c>
      <c r="C6" s="44" t="str">
        <f>IF(A6&lt;=Inputs!$B$21,"",A6-Inputs!$B$21-1)</f>
        <v/>
      </c>
      <c r="D6" s="56">
        <f>IF(OR(A6&lt;=Inputs!$B$21,A6&gt;Inputs!$B$21+Configurations!$C$15),0,Configurations!$C$4*Configurations!$C$5*8760*(1-Configurations!$C$6)^C6*Configurations!$C$7*(1-Configurations!$C$8))</f>
        <v>0</v>
      </c>
      <c r="E6" s="55">
        <f>IF(OR(A6&lt;=Inputs!$B$21,A6&gt;Inputs!$B$21+Configurations!$C$15),0,IF(A6&lt;=Inputs!$B$21+Inputs!$B$5,D6*(1-Inputs!$B$10)*Configurations!$C$16/1000000,D6*Inputs!$B$18/1000000))</f>
        <v>0</v>
      </c>
      <c r="F6" s="55">
        <f>IF(OR(A6&lt;=Inputs!$B$21,A6&gt;Inputs!$B$21+Configurations!$C$15),0,Configurations!$C$12+Configurations!$C$13+Configurations!$C$14+Inputs!$B$20*E6)</f>
        <v>0</v>
      </c>
      <c r="G6" s="55">
        <f t="shared" si="0"/>
        <v>0</v>
      </c>
      <c r="H6" s="63">
        <f>IF(AND(A6&gt;Inputs!$B$21,A6&lt;=Inputs!$B$21+Inputs!$B$12),Capitalization!E$12,0)</f>
        <v>0</v>
      </c>
      <c r="I6" s="55">
        <f t="shared" si="1"/>
        <v>0</v>
      </c>
      <c r="J6" s="64" t="str">
        <f>IF(A6&lt;=Inputs!$B$21,"",IF(AND(A6&lt;=Inputs!$B$22,Capitalization!E$18&gt;0),Inputs!$B$25,Inputs!$B$26))</f>
        <v/>
      </c>
      <c r="K6" s="55">
        <f>IF(A6=0,-Capitalization!E$19,IF(A6&lt;=Inputs!$B$21,0,I6*J6-IF(AND(A6=Inputs!$B$22,Capitalization!E$18&gt;0),Inputs!$B$23,0)))</f>
        <v>0</v>
      </c>
      <c r="L6" s="65" t="str">
        <f t="shared" si="2"/>
        <v/>
      </c>
      <c r="M6" s="55">
        <f>IF(A6=0,-Capitalization!E$4,IF(A6&lt;=Inputs!$B$21,0,G6))</f>
        <v>0</v>
      </c>
    </row>
    <row r="7" spans="1:13" ht="15" customHeight="1" x14ac:dyDescent="0.2">
      <c r="A7" s="44">
        <v>2</v>
      </c>
      <c r="B7" s="44" t="str">
        <f>IF(A7=0,"Equity",IF(A7&lt;=Inputs!$B$21,"Construction",IF(A7&lt;=Inputs!$B$21+Inputs!$B$5,"Queue wait",IF(A7&lt;=Inputs!$B$21+Configurations!$C$15,"Grid ops"," "))))</f>
        <v>Construction</v>
      </c>
      <c r="C7" s="44" t="str">
        <f>IF(A7&lt;=Inputs!$B$21,"",A7-Inputs!$B$21-1)</f>
        <v/>
      </c>
      <c r="D7" s="56">
        <f>IF(OR(A7&lt;=Inputs!$B$21,A7&gt;Inputs!$B$21+Configurations!$C$15),0,Configurations!$C$4*Configurations!$C$5*8760*(1-Configurations!$C$6)^C7*Configurations!$C$7*(1-Configurations!$C$8))</f>
        <v>0</v>
      </c>
      <c r="E7" s="55">
        <f>IF(OR(A7&lt;=Inputs!$B$21,A7&gt;Inputs!$B$21+Configurations!$C$15),0,IF(A7&lt;=Inputs!$B$21+Inputs!$B$5,D7*(1-Inputs!$B$10)*Configurations!$C$16/1000000,D7*Inputs!$B$18/1000000))</f>
        <v>0</v>
      </c>
      <c r="F7" s="55">
        <f>IF(OR(A7&lt;=Inputs!$B$21,A7&gt;Inputs!$B$21+Configurations!$C$15),0,Configurations!$C$12+Configurations!$C$13+Configurations!$C$14+Inputs!$B$20*E7)</f>
        <v>0</v>
      </c>
      <c r="G7" s="55">
        <f t="shared" si="0"/>
        <v>0</v>
      </c>
      <c r="H7" s="63">
        <f>IF(AND(A7&gt;Inputs!$B$21,A7&lt;=Inputs!$B$21+Inputs!$B$12),Capitalization!E$12,0)</f>
        <v>0</v>
      </c>
      <c r="I7" s="55">
        <f t="shared" si="1"/>
        <v>0</v>
      </c>
      <c r="J7" s="64" t="str">
        <f>IF(A7&lt;=Inputs!$B$21,"",IF(AND(A7&lt;=Inputs!$B$22,Capitalization!E$18&gt;0),Inputs!$B$25,Inputs!$B$26))</f>
        <v/>
      </c>
      <c r="K7" s="55">
        <f>IF(A7=0,-Capitalization!E$19,IF(A7&lt;=Inputs!$B$21,0,I7*J7-IF(AND(A7=Inputs!$B$22,Capitalization!E$18&gt;0),Inputs!$B$23,0)))</f>
        <v>0</v>
      </c>
      <c r="L7" s="65" t="str">
        <f t="shared" si="2"/>
        <v/>
      </c>
      <c r="M7" s="55">
        <f>IF(A7=0,-Capitalization!E$4,IF(A7&lt;=Inputs!$B$21,0,G7))</f>
        <v>0</v>
      </c>
    </row>
    <row r="8" spans="1:13" ht="15" customHeight="1" x14ac:dyDescent="0.2">
      <c r="A8" s="44">
        <v>3</v>
      </c>
      <c r="B8" s="44" t="str">
        <f>IF(A8=0,"Equity",IF(A8&lt;=Inputs!$B$21,"Construction",IF(A8&lt;=Inputs!$B$21+Inputs!$B$5,"Queue wait",IF(A8&lt;=Inputs!$B$21+Configurations!$C$15,"Grid ops"," "))))</f>
        <v>Queue wait</v>
      </c>
      <c r="C8" s="44">
        <f>IF(A8&lt;=Inputs!$B$21,"",A8-Inputs!$B$21-1)</f>
        <v>0</v>
      </c>
      <c r="D8" s="56">
        <f>IF(OR(A8&lt;=Inputs!$B$21,A8&gt;Inputs!$B$21+Configurations!$C$15),0,Configurations!$C$4*Configurations!$C$5*8760*(1-Configurations!$C$6)^C8*Configurations!$C$7*(1-Configurations!$C$8))</f>
        <v>430466.39999999997</v>
      </c>
      <c r="E8" s="55">
        <f ca="1">IF(OR(A8&lt;=Inputs!$B$21,A8&gt;Inputs!$B$21+Configurations!$C$15),0,IF(A8&lt;=Inputs!$B$21+Inputs!$B$5,D8*(1-Inputs!$B$10)*Configurations!$C$16/1000000,D8*Inputs!$B$18/1000000))</f>
        <v>49.585505249928772</v>
      </c>
      <c r="F8" s="55">
        <f ca="1">IF(OR(A8&lt;=Inputs!$B$21,A8&gt;Inputs!$B$21+Configurations!$C$15),0,Configurations!$C$12+Configurations!$C$13+Configurations!$C$14+Inputs!$B$20*E8)</f>
        <v>9.8297825787489312</v>
      </c>
      <c r="G8" s="55">
        <f t="shared" ca="1" si="0"/>
        <v>39.755722671179839</v>
      </c>
      <c r="H8" s="63">
        <f>IF(AND(A8&gt;Inputs!$B$21,A8&lt;=Inputs!$B$21+Inputs!$B$12),Capitalization!E$12,0)</f>
        <v>15.620420537620987</v>
      </c>
      <c r="I8" s="55">
        <f t="shared" ca="1" si="1"/>
        <v>24.135302133558852</v>
      </c>
      <c r="J8" s="64">
        <f ca="1">IF(A8&lt;=Inputs!$B$21,"",IF(AND(A8&lt;=Inputs!$B$22,Capitalization!E$18&gt;0),Inputs!$B$25,Inputs!$B$26))</f>
        <v>0.7</v>
      </c>
      <c r="K8" s="55">
        <f ca="1">IF(A8=0,-Capitalization!E$19,IF(A8&lt;=Inputs!$B$21,0,I8*J8-IF(AND(A8=Inputs!$B$22,Capitalization!E$18&gt;0),Inputs!$B$23,0)))</f>
        <v>16.894711493491194</v>
      </c>
      <c r="L8" s="65">
        <f t="shared" ca="1" si="2"/>
        <v>2.5451121866680992</v>
      </c>
      <c r="M8" s="55">
        <f ca="1">IF(A8=0,-Capitalization!E$4,IF(A8&lt;=Inputs!$B$21,0,G8))</f>
        <v>39.755722671179839</v>
      </c>
    </row>
    <row r="9" spans="1:13" ht="15" customHeight="1" x14ac:dyDescent="0.2">
      <c r="A9" s="44">
        <v>4</v>
      </c>
      <c r="B9" s="44" t="str">
        <f>IF(A9=0,"Equity",IF(A9&lt;=Inputs!$B$21,"Construction",IF(A9&lt;=Inputs!$B$21+Inputs!$B$5,"Queue wait",IF(A9&lt;=Inputs!$B$21+Configurations!$C$15,"Grid ops"," "))))</f>
        <v>Queue wait</v>
      </c>
      <c r="C9" s="44">
        <f>IF(A9&lt;=Inputs!$B$21,"",A9-Inputs!$B$21-1)</f>
        <v>1</v>
      </c>
      <c r="D9" s="56">
        <f>IF(OR(A9&lt;=Inputs!$B$21,A9&gt;Inputs!$B$21+Configurations!$C$15),0,Configurations!$C$4*Configurations!$C$5*8760*(1-Configurations!$C$6)^C9*Configurations!$C$7*(1-Configurations!$C$8))</f>
        <v>429605.46719999996</v>
      </c>
      <c r="E9" s="55">
        <f ca="1">IF(OR(A9&lt;=Inputs!$B$21,A9&gt;Inputs!$B$21+Configurations!$C$15),0,IF(A9&lt;=Inputs!$B$21+Inputs!$B$5,D9*(1-Inputs!$B$10)*Configurations!$C$16/1000000,D9*Inputs!$B$18/1000000))</f>
        <v>49.486334239428913</v>
      </c>
      <c r="F9" s="55">
        <f ca="1">IF(OR(A9&lt;=Inputs!$B$21,A9&gt;Inputs!$B$21+Configurations!$C$15),0,Configurations!$C$12+Configurations!$C$13+Configurations!$C$14+Inputs!$B$20*E9)</f>
        <v>9.8282950135914344</v>
      </c>
      <c r="G9" s="55">
        <f t="shared" ca="1" si="0"/>
        <v>39.658039225837477</v>
      </c>
      <c r="H9" s="63">
        <f>IF(AND(A9&gt;Inputs!$B$21,A9&lt;=Inputs!$B$21+Inputs!$B$12),Capitalization!E$12,0)</f>
        <v>15.620420537620987</v>
      </c>
      <c r="I9" s="55">
        <f t="shared" ca="1" si="1"/>
        <v>24.03761868821649</v>
      </c>
      <c r="J9" s="64">
        <f ca="1">IF(A9&lt;=Inputs!$B$21,"",IF(AND(A9&lt;=Inputs!$B$22,Capitalization!E$18&gt;0),Inputs!$B$25,Inputs!$B$26))</f>
        <v>0.7</v>
      </c>
      <c r="K9" s="55">
        <f ca="1">IF(A9=0,-Capitalization!E$19,IF(A9&lt;=Inputs!$B$21,0,I9*J9-IF(AND(A9=Inputs!$B$22,Capitalization!E$18&gt;0),Inputs!$B$23,0)))</f>
        <v>16.826333081751542</v>
      </c>
      <c r="L9" s="65">
        <f t="shared" ca="1" si="2"/>
        <v>2.5388586133339439</v>
      </c>
      <c r="M9" s="55">
        <f ca="1">IF(A9=0,-Capitalization!E$4,IF(A9&lt;=Inputs!$B$21,0,G9))</f>
        <v>39.658039225837477</v>
      </c>
    </row>
    <row r="10" spans="1:13" ht="15" customHeight="1" x14ac:dyDescent="0.2">
      <c r="A10" s="44">
        <v>5</v>
      </c>
      <c r="B10" s="44" t="str">
        <f>IF(A10=0,"Equity",IF(A10&lt;=Inputs!$B$21,"Construction",IF(A10&lt;=Inputs!$B$21+Inputs!$B$5,"Queue wait",IF(A10&lt;=Inputs!$B$21+Configurations!$C$15,"Grid ops"," "))))</f>
        <v>Queue wait</v>
      </c>
      <c r="C10" s="44">
        <f>IF(A10&lt;=Inputs!$B$21,"",A10-Inputs!$B$21-1)</f>
        <v>2</v>
      </c>
      <c r="D10" s="56">
        <f>IF(OR(A10&lt;=Inputs!$B$21,A10&gt;Inputs!$B$21+Configurations!$C$15),0,Configurations!$C$4*Configurations!$C$5*8760*(1-Configurations!$C$6)^C10*Configurations!$C$7*(1-Configurations!$C$8))</f>
        <v>428746.25626559992</v>
      </c>
      <c r="E10" s="55">
        <f ca="1">IF(OR(A10&lt;=Inputs!$B$21,A10&gt;Inputs!$B$21+Configurations!$C$15),0,IF(A10&lt;=Inputs!$B$21+Inputs!$B$5,D10*(1-Inputs!$B$10)*Configurations!$C$16/1000000,D10*Inputs!$B$18/1000000))</f>
        <v>49.387361570950056</v>
      </c>
      <c r="F10" s="55">
        <f ca="1">IF(OR(A10&lt;=Inputs!$B$21,A10&gt;Inputs!$B$21+Configurations!$C$15),0,Configurations!$C$12+Configurations!$C$13+Configurations!$C$14+Inputs!$B$20*E10)</f>
        <v>9.8268104235642504</v>
      </c>
      <c r="G10" s="55">
        <f t="shared" ca="1" si="0"/>
        <v>39.560551147385809</v>
      </c>
      <c r="H10" s="63">
        <f>IF(AND(A10&gt;Inputs!$B$21,A10&lt;=Inputs!$B$21+Inputs!$B$12),Capitalization!E$12,0)</f>
        <v>15.620420537620987</v>
      </c>
      <c r="I10" s="55">
        <f t="shared" ca="1" si="1"/>
        <v>23.940130609764822</v>
      </c>
      <c r="J10" s="64">
        <f ca="1">IF(A10&lt;=Inputs!$B$21,"",IF(AND(A10&lt;=Inputs!$B$22,Capitalization!E$18&gt;0),Inputs!$B$25,Inputs!$B$26))</f>
        <v>0.7</v>
      </c>
      <c r="K10" s="55">
        <f ca="1">IF(A10=0,-Capitalization!E$19,IF(A10&lt;=Inputs!$B$21,0,I10*J10-IF(AND(A10=Inputs!$B$22,Capitalization!E$18&gt;0),Inputs!$B$23,0)))</f>
        <v>16.758091426835374</v>
      </c>
      <c r="L10" s="65">
        <f t="shared" ca="1" si="2"/>
        <v>2.5326175471464571</v>
      </c>
      <c r="M10" s="55">
        <f ca="1">IF(A10=0,-Capitalization!E$4,IF(A10&lt;=Inputs!$B$21,0,G10))</f>
        <v>39.560551147385809</v>
      </c>
    </row>
    <row r="11" spans="1:13" ht="15" customHeight="1" x14ac:dyDescent="0.2">
      <c r="A11" s="44">
        <v>6</v>
      </c>
      <c r="B11" s="44" t="str">
        <f>IF(A11=0,"Equity",IF(A11&lt;=Inputs!$B$21,"Construction",IF(A11&lt;=Inputs!$B$21+Inputs!$B$5,"Queue wait",IF(A11&lt;=Inputs!$B$21+Configurations!$C$15,"Grid ops"," "))))</f>
        <v>Queue wait</v>
      </c>
      <c r="C11" s="44">
        <f>IF(A11&lt;=Inputs!$B$21,"",A11-Inputs!$B$21-1)</f>
        <v>3</v>
      </c>
      <c r="D11" s="56">
        <f>IF(OR(A11&lt;=Inputs!$B$21,A11&gt;Inputs!$B$21+Configurations!$C$15),0,Configurations!$C$4*Configurations!$C$5*8760*(1-Configurations!$C$6)^C11*Configurations!$C$7*(1-Configurations!$C$8))</f>
        <v>427888.76375306875</v>
      </c>
      <c r="E11" s="55">
        <f ca="1">IF(OR(A11&lt;=Inputs!$B$21,A11&gt;Inputs!$B$21+Configurations!$C$15),0,IF(A11&lt;=Inputs!$B$21+Inputs!$B$5,D11*(1-Inputs!$B$10)*Configurations!$C$16/1000000,D11*Inputs!$B$18/1000000))</f>
        <v>49.288586847808162</v>
      </c>
      <c r="F11" s="55">
        <f ca="1">IF(OR(A11&lt;=Inputs!$B$21,A11&gt;Inputs!$B$21+Configurations!$C$15),0,Configurations!$C$12+Configurations!$C$13+Configurations!$C$14+Inputs!$B$20*E11)</f>
        <v>9.8253288027171219</v>
      </c>
      <c r="G11" s="55">
        <f t="shared" ca="1" si="0"/>
        <v>39.463258045091038</v>
      </c>
      <c r="H11" s="63">
        <f>IF(AND(A11&gt;Inputs!$B$21,A11&lt;=Inputs!$B$21+Inputs!$B$12),Capitalization!E$12,0)</f>
        <v>15.620420537620987</v>
      </c>
      <c r="I11" s="55">
        <f t="shared" ca="1" si="1"/>
        <v>23.842837507470051</v>
      </c>
      <c r="J11" s="64">
        <f ca="1">IF(A11&lt;=Inputs!$B$21,"",IF(AND(A11&lt;=Inputs!$B$22,Capitalization!E$18&gt;0),Inputs!$B$25,Inputs!$B$26))</f>
        <v>0.7</v>
      </c>
      <c r="K11" s="55">
        <f ca="1">IF(A11=0,-Capitalization!E$19,IF(A11&lt;=Inputs!$B$21,0,I11*J11-IF(AND(A11=Inputs!$B$22,Capitalization!E$18&gt;0),Inputs!$B$23,0)))</f>
        <v>15.689986255229034</v>
      </c>
      <c r="L11" s="65">
        <f t="shared" ca="1" si="2"/>
        <v>2.5263889630913452</v>
      </c>
      <c r="M11" s="55">
        <f ca="1">IF(A11=0,-Capitalization!E$4,IF(A11&lt;=Inputs!$B$21,0,G11))</f>
        <v>39.463258045091038</v>
      </c>
    </row>
    <row r="12" spans="1:13" ht="15" customHeight="1" x14ac:dyDescent="0.2">
      <c r="A12" s="44">
        <v>7</v>
      </c>
      <c r="B12" s="44" t="str">
        <f>IF(A12=0,"Equity",IF(A12&lt;=Inputs!$B$21,"Construction",IF(A12&lt;=Inputs!$B$21+Inputs!$B$5,"Queue wait",IF(A12&lt;=Inputs!$B$21+Configurations!$C$15,"Grid ops"," "))))</f>
        <v>Grid ops</v>
      </c>
      <c r="C12" s="44">
        <f>IF(A12&lt;=Inputs!$B$21,"",A12-Inputs!$B$21-1)</f>
        <v>4</v>
      </c>
      <c r="D12" s="56">
        <f>IF(OR(A12&lt;=Inputs!$B$21,A12&gt;Inputs!$B$21+Configurations!$C$15),0,Configurations!$C$4*Configurations!$C$5*8760*(1-Configurations!$C$6)^C12*Configurations!$C$7*(1-Configurations!$C$8))</f>
        <v>427032.98622556264</v>
      </c>
      <c r="E12" s="55">
        <f>IF(OR(A12&lt;=Inputs!$B$21,A12&gt;Inputs!$B$21+Configurations!$C$15),0,IF(A12&lt;=Inputs!$B$21+Inputs!$B$5,D12*(1-Inputs!$B$10)*Configurations!$C$16/1000000,D12*Inputs!$B$18/1000000))</f>
        <v>30.746375008240509</v>
      </c>
      <c r="F12" s="55">
        <f>IF(OR(A12&lt;=Inputs!$B$21,A12&gt;Inputs!$B$21+Configurations!$C$15),0,Configurations!$C$12+Configurations!$C$13+Configurations!$C$14+Inputs!$B$20*E12)</f>
        <v>9.5471956251236083</v>
      </c>
      <c r="G12" s="55">
        <f t="shared" si="0"/>
        <v>21.199179383116899</v>
      </c>
      <c r="H12" s="63">
        <f>IF(AND(A12&gt;Inputs!$B$21,A12&lt;=Inputs!$B$21+Inputs!$B$12),Capitalization!E$12,0)</f>
        <v>15.620420537620987</v>
      </c>
      <c r="I12" s="55">
        <f t="shared" si="1"/>
        <v>5.5787588454959121</v>
      </c>
      <c r="J12" s="64">
        <f ca="1">IF(A12&lt;=Inputs!$B$21,"",IF(AND(A12&lt;=Inputs!$B$22,Capitalization!E$18&gt;0),Inputs!$B$25,Inputs!$B$26))</f>
        <v>0.97499999999999998</v>
      </c>
      <c r="K12" s="55">
        <f ca="1">IF(A12=0,-Capitalization!E$19,IF(A12&lt;=Inputs!$B$21,0,I12*J12-IF(AND(A12=Inputs!$B$22,Capitalization!E$18&gt;0),Inputs!$B$23,0)))</f>
        <v>5.4392898743585141</v>
      </c>
      <c r="L12" s="65">
        <f t="shared" si="2"/>
        <v>1.3571452402359947</v>
      </c>
      <c r="M12" s="55">
        <f>IF(A12=0,-Capitalization!E$4,IF(A12&lt;=Inputs!$B$21,0,G12))</f>
        <v>21.199179383116899</v>
      </c>
    </row>
    <row r="13" spans="1:13" ht="15" customHeight="1" x14ac:dyDescent="0.2">
      <c r="A13" s="44">
        <v>8</v>
      </c>
      <c r="B13" s="44" t="str">
        <f>IF(A13=0,"Equity",IF(A13&lt;=Inputs!$B$21,"Construction",IF(A13&lt;=Inputs!$B$21+Inputs!$B$5,"Queue wait",IF(A13&lt;=Inputs!$B$21+Configurations!$C$15,"Grid ops"," "))))</f>
        <v>Grid ops</v>
      </c>
      <c r="C13" s="44">
        <f>IF(A13&lt;=Inputs!$B$21,"",A13-Inputs!$B$21-1)</f>
        <v>5</v>
      </c>
      <c r="D13" s="56">
        <f>IF(OR(A13&lt;=Inputs!$B$21,A13&gt;Inputs!$B$21+Configurations!$C$15),0,Configurations!$C$4*Configurations!$C$5*8760*(1-Configurations!$C$6)^C13*Configurations!$C$7*(1-Configurations!$C$8))</f>
        <v>426178.92025311152</v>
      </c>
      <c r="E13" s="55">
        <f>IF(OR(A13&lt;=Inputs!$B$21,A13&gt;Inputs!$B$21+Configurations!$C$15),0,IF(A13&lt;=Inputs!$B$21+Inputs!$B$5,D13*(1-Inputs!$B$10)*Configurations!$C$16/1000000,D13*Inputs!$B$18/1000000))</f>
        <v>30.684882258224029</v>
      </c>
      <c r="F13" s="55">
        <f>IF(OR(A13&lt;=Inputs!$B$21,A13&gt;Inputs!$B$21+Configurations!$C$15),0,Configurations!$C$12+Configurations!$C$13+Configurations!$C$14+Inputs!$B$20*E13)</f>
        <v>9.5462732338733609</v>
      </c>
      <c r="G13" s="55">
        <f t="shared" si="0"/>
        <v>21.138609024350668</v>
      </c>
      <c r="H13" s="63">
        <f>IF(AND(A13&gt;Inputs!$B$21,A13&lt;=Inputs!$B$21+Inputs!$B$12),Capitalization!E$12,0)</f>
        <v>15.620420537620987</v>
      </c>
      <c r="I13" s="55">
        <f t="shared" si="1"/>
        <v>5.5181884867296809</v>
      </c>
      <c r="J13" s="64">
        <f ca="1">IF(A13&lt;=Inputs!$B$21,"",IF(AND(A13&lt;=Inputs!$B$22,Capitalization!E$18&gt;0),Inputs!$B$25,Inputs!$B$26))</f>
        <v>0.97499999999999998</v>
      </c>
      <c r="K13" s="55">
        <f ca="1">IF(A13=0,-Capitalization!E$19,IF(A13&lt;=Inputs!$B$21,0,I13*J13-IF(AND(A13=Inputs!$B$22,Capitalization!E$18&gt;0),Inputs!$B$23,0)))</f>
        <v>5.3802337745614386</v>
      </c>
      <c r="L13" s="65">
        <f t="shared" si="2"/>
        <v>1.3532676007947035</v>
      </c>
      <c r="M13" s="55">
        <f>IF(A13=0,-Capitalization!E$4,IF(A13&lt;=Inputs!$B$21,0,G13))</f>
        <v>21.138609024350668</v>
      </c>
    </row>
    <row r="14" spans="1:13" ht="15" customHeight="1" x14ac:dyDescent="0.2">
      <c r="A14" s="44">
        <v>9</v>
      </c>
      <c r="B14" s="44" t="str">
        <f>IF(A14=0,"Equity",IF(A14&lt;=Inputs!$B$21,"Construction",IF(A14&lt;=Inputs!$B$21+Inputs!$B$5,"Queue wait",IF(A14&lt;=Inputs!$B$21+Configurations!$C$15,"Grid ops"," "))))</f>
        <v>Grid ops</v>
      </c>
      <c r="C14" s="44">
        <f>IF(A14&lt;=Inputs!$B$21,"",A14-Inputs!$B$21-1)</f>
        <v>6</v>
      </c>
      <c r="D14" s="56">
        <f>IF(OR(A14&lt;=Inputs!$B$21,A14&gt;Inputs!$B$21+Configurations!$C$15),0,Configurations!$C$4*Configurations!$C$5*8760*(1-Configurations!$C$6)^C14*Configurations!$C$7*(1-Configurations!$C$8))</f>
        <v>425326.56241260527</v>
      </c>
      <c r="E14" s="55">
        <f>IF(OR(A14&lt;=Inputs!$B$21,A14&gt;Inputs!$B$21+Configurations!$C$15),0,IF(A14&lt;=Inputs!$B$21+Inputs!$B$5,D14*(1-Inputs!$B$10)*Configurations!$C$16/1000000,D14*Inputs!$B$18/1000000))</f>
        <v>30.62351249370758</v>
      </c>
      <c r="F14" s="55">
        <f>IF(OR(A14&lt;=Inputs!$B$21,A14&gt;Inputs!$B$21+Configurations!$C$15),0,Configurations!$C$12+Configurations!$C$13+Configurations!$C$14+Inputs!$B$20*E14)</f>
        <v>9.5453526874056145</v>
      </c>
      <c r="G14" s="55">
        <f t="shared" si="0"/>
        <v>21.078159806301965</v>
      </c>
      <c r="H14" s="63">
        <f>IF(AND(A14&gt;Inputs!$B$21,A14&lt;=Inputs!$B$21+Inputs!$B$12),Capitalization!E$12,0)</f>
        <v>15.620420537620987</v>
      </c>
      <c r="I14" s="55">
        <f t="shared" si="1"/>
        <v>5.457739268680978</v>
      </c>
      <c r="J14" s="64">
        <f ca="1">IF(A14&lt;=Inputs!$B$21,"",IF(AND(A14&lt;=Inputs!$B$22,Capitalization!E$18&gt;0),Inputs!$B$25,Inputs!$B$26))</f>
        <v>0.97499999999999998</v>
      </c>
      <c r="K14" s="55">
        <f ca="1">IF(A14=0,-Capitalization!E$19,IF(A14&lt;=Inputs!$B$21,0,I14*J14-IF(AND(A14=Inputs!$B$22,Capitalization!E$18&gt;0),Inputs!$B$23,0)))</f>
        <v>5.3212957869639537</v>
      </c>
      <c r="L14" s="65">
        <f t="shared" si="2"/>
        <v>1.349397716632295</v>
      </c>
      <c r="M14" s="55">
        <f>IF(A14=0,-Capitalization!E$4,IF(A14&lt;=Inputs!$B$21,0,G14))</f>
        <v>21.078159806301965</v>
      </c>
    </row>
    <row r="15" spans="1:13" ht="15" customHeight="1" x14ac:dyDescent="0.2">
      <c r="A15" s="44">
        <v>10</v>
      </c>
      <c r="B15" s="44" t="str">
        <f>IF(A15=0,"Equity",IF(A15&lt;=Inputs!$B$21,"Construction",IF(A15&lt;=Inputs!$B$21+Inputs!$B$5,"Queue wait",IF(A15&lt;=Inputs!$B$21+Configurations!$C$15,"Grid ops"," "))))</f>
        <v>Grid ops</v>
      </c>
      <c r="C15" s="44">
        <f>IF(A15&lt;=Inputs!$B$21,"",A15-Inputs!$B$21-1)</f>
        <v>7</v>
      </c>
      <c r="D15" s="56">
        <f>IF(OR(A15&lt;=Inputs!$B$21,A15&gt;Inputs!$B$21+Configurations!$C$15),0,Configurations!$C$4*Configurations!$C$5*8760*(1-Configurations!$C$6)^C15*Configurations!$C$7*(1-Configurations!$C$8))</f>
        <v>424475.90928778006</v>
      </c>
      <c r="E15" s="55">
        <f>IF(OR(A15&lt;=Inputs!$B$21,A15&gt;Inputs!$B$21+Configurations!$C$15),0,IF(A15&lt;=Inputs!$B$21+Inputs!$B$5,D15*(1-Inputs!$B$10)*Configurations!$C$16/1000000,D15*Inputs!$B$18/1000000))</f>
        <v>30.562265468720163</v>
      </c>
      <c r="F15" s="55">
        <f>IF(OR(A15&lt;=Inputs!$B$21,A15&gt;Inputs!$B$21+Configurations!$C$15),0,Configurations!$C$12+Configurations!$C$13+Configurations!$C$14+Inputs!$B$20*E15)</f>
        <v>9.5444339820308031</v>
      </c>
      <c r="G15" s="55">
        <f t="shared" si="0"/>
        <v>21.01783148668936</v>
      </c>
      <c r="H15" s="63">
        <f>IF(AND(A15&gt;Inputs!$B$21,A15&lt;=Inputs!$B$21+Inputs!$B$12),Capitalization!E$12,0)</f>
        <v>15.620420537620987</v>
      </c>
      <c r="I15" s="55">
        <f t="shared" si="1"/>
        <v>5.397410949068373</v>
      </c>
      <c r="J15" s="64">
        <f ca="1">IF(A15&lt;=Inputs!$B$21,"",IF(AND(A15&lt;=Inputs!$B$22,Capitalization!E$18&gt;0),Inputs!$B$25,Inputs!$B$26))</f>
        <v>0.97499999999999998</v>
      </c>
      <c r="K15" s="55">
        <f ca="1">IF(A15=0,-Capitalization!E$19,IF(A15&lt;=Inputs!$B$21,0,I15*J15-IF(AND(A15=Inputs!$B$22,Capitalization!E$18&gt;0),Inputs!$B$23,0)))</f>
        <v>5.2624756753416637</v>
      </c>
      <c r="L15" s="65">
        <f t="shared" si="2"/>
        <v>1.3455355722382112</v>
      </c>
      <c r="M15" s="55">
        <f>IF(A15=0,-Capitalization!E$4,IF(A15&lt;=Inputs!$B$21,0,G15))</f>
        <v>21.01783148668936</v>
      </c>
    </row>
    <row r="16" spans="1:13" ht="15" customHeight="1" x14ac:dyDescent="0.2">
      <c r="A16" s="44">
        <v>11</v>
      </c>
      <c r="B16" s="44" t="str">
        <f>IF(A16=0,"Equity",IF(A16&lt;=Inputs!$B$21,"Construction",IF(A16&lt;=Inputs!$B$21+Inputs!$B$5,"Queue wait",IF(A16&lt;=Inputs!$B$21+Configurations!$C$15,"Grid ops"," "))))</f>
        <v>Grid ops</v>
      </c>
      <c r="C16" s="44">
        <f>IF(A16&lt;=Inputs!$B$21,"",A16-Inputs!$B$21-1)</f>
        <v>8</v>
      </c>
      <c r="D16" s="56">
        <f>IF(OR(A16&lt;=Inputs!$B$21,A16&gt;Inputs!$B$21+Configurations!$C$15),0,Configurations!$C$4*Configurations!$C$5*8760*(1-Configurations!$C$6)^C16*Configurations!$C$7*(1-Configurations!$C$8))</f>
        <v>423626.95746920456</v>
      </c>
      <c r="E16" s="55">
        <f>IF(OR(A16&lt;=Inputs!$B$21,A16&gt;Inputs!$B$21+Configurations!$C$15),0,IF(A16&lt;=Inputs!$B$21+Inputs!$B$5,D16*(1-Inputs!$B$10)*Configurations!$C$16/1000000,D16*Inputs!$B$18/1000000))</f>
        <v>30.501140937782726</v>
      </c>
      <c r="F16" s="55">
        <f>IF(OR(A16&lt;=Inputs!$B$21,A16&gt;Inputs!$B$21+Configurations!$C$15),0,Configurations!$C$12+Configurations!$C$13+Configurations!$C$14+Inputs!$B$20*E16)</f>
        <v>9.5435171140667414</v>
      </c>
      <c r="G16" s="55">
        <f t="shared" si="0"/>
        <v>20.957623823715984</v>
      </c>
      <c r="H16" s="63">
        <f>IF(AND(A16&gt;Inputs!$B$21,A16&lt;=Inputs!$B$21+Inputs!$B$12),Capitalization!E$12,0)</f>
        <v>15.620420537620987</v>
      </c>
      <c r="I16" s="55">
        <f t="shared" si="1"/>
        <v>5.3372032860949972</v>
      </c>
      <c r="J16" s="64">
        <f ca="1">IF(A16&lt;=Inputs!$B$21,"",IF(AND(A16&lt;=Inputs!$B$22,Capitalization!E$18&gt;0),Inputs!$B$25,Inputs!$B$26))</f>
        <v>0.97499999999999998</v>
      </c>
      <c r="K16" s="55">
        <f ca="1">IF(A16=0,-Capitalization!E$19,IF(A16&lt;=Inputs!$B$21,0,I16*J16-IF(AND(A16=Inputs!$B$22,Capitalization!E$18&gt;0),Inputs!$B$23,0)))</f>
        <v>5.2037732039426219</v>
      </c>
      <c r="L16" s="65">
        <f t="shared" si="2"/>
        <v>1.3416811521329157</v>
      </c>
      <c r="M16" s="55">
        <f>IF(A16=0,-Capitalization!E$4,IF(A16&lt;=Inputs!$B$21,0,G16))</f>
        <v>20.957623823715984</v>
      </c>
    </row>
    <row r="17" spans="1:13" ht="15" customHeight="1" x14ac:dyDescent="0.2">
      <c r="A17" s="44">
        <v>12</v>
      </c>
      <c r="B17" s="44" t="str">
        <f>IF(A17=0,"Equity",IF(A17&lt;=Inputs!$B$21,"Construction",IF(A17&lt;=Inputs!$B$21+Inputs!$B$5,"Queue wait",IF(A17&lt;=Inputs!$B$21+Configurations!$C$15,"Grid ops"," "))))</f>
        <v>Grid ops</v>
      </c>
      <c r="C17" s="44">
        <f>IF(A17&lt;=Inputs!$B$21,"",A17-Inputs!$B$21-1)</f>
        <v>9</v>
      </c>
      <c r="D17" s="56">
        <f>IF(OR(A17&lt;=Inputs!$B$21,A17&gt;Inputs!$B$21+Configurations!$C$15),0,Configurations!$C$4*Configurations!$C$5*8760*(1-Configurations!$C$6)^C17*Configurations!$C$7*(1-Configurations!$C$8))</f>
        <v>422779.70355426613</v>
      </c>
      <c r="E17" s="55">
        <f>IF(OR(A17&lt;=Inputs!$B$21,A17&gt;Inputs!$B$21+Configurations!$C$15),0,IF(A17&lt;=Inputs!$B$21+Inputs!$B$5,D17*(1-Inputs!$B$10)*Configurations!$C$16/1000000,D17*Inputs!$B$18/1000000))</f>
        <v>30.440138655907163</v>
      </c>
      <c r="F17" s="55">
        <f>IF(OR(A17&lt;=Inputs!$B$21,A17&gt;Inputs!$B$21+Configurations!$C$15),0,Configurations!$C$12+Configurations!$C$13+Configurations!$C$14+Inputs!$B$20*E17)</f>
        <v>9.5426020798386073</v>
      </c>
      <c r="G17" s="55">
        <f t="shared" si="0"/>
        <v>20.897536576068553</v>
      </c>
      <c r="H17" s="63">
        <f>IF(AND(A17&gt;Inputs!$B$21,A17&lt;=Inputs!$B$21+Inputs!$B$12),Capitalization!E$12,0)</f>
        <v>15.620420537620987</v>
      </c>
      <c r="I17" s="55">
        <f t="shared" si="1"/>
        <v>5.2771160384475664</v>
      </c>
      <c r="J17" s="64">
        <f ca="1">IF(A17&lt;=Inputs!$B$21,"",IF(AND(A17&lt;=Inputs!$B$22,Capitalization!E$18&gt;0),Inputs!$B$25,Inputs!$B$26))</f>
        <v>0.97499999999999998</v>
      </c>
      <c r="K17" s="55">
        <f ca="1">IF(A17=0,-Capitalization!E$19,IF(A17&lt;=Inputs!$B$21,0,I17*J17-IF(AND(A17=Inputs!$B$22,Capitalization!E$18&gt;0),Inputs!$B$23,0)))</f>
        <v>5.145188137486377</v>
      </c>
      <c r="L17" s="65">
        <f t="shared" si="2"/>
        <v>1.3378344408678307</v>
      </c>
      <c r="M17" s="55">
        <f>IF(A17=0,-Capitalization!E$4,IF(A17&lt;=Inputs!$B$21,0,G17))</f>
        <v>20.897536576068553</v>
      </c>
    </row>
    <row r="18" spans="1:13" ht="15" customHeight="1" x14ac:dyDescent="0.2">
      <c r="A18" s="44">
        <v>13</v>
      </c>
      <c r="B18" s="44" t="str">
        <f>IF(A18=0,"Equity",IF(A18&lt;=Inputs!$B$21,"Construction",IF(A18&lt;=Inputs!$B$21+Inputs!$B$5,"Queue wait",IF(A18&lt;=Inputs!$B$21+Configurations!$C$15,"Grid ops"," "))))</f>
        <v>Grid ops</v>
      </c>
      <c r="C18" s="44">
        <f>IF(A18&lt;=Inputs!$B$21,"",A18-Inputs!$B$21-1)</f>
        <v>10</v>
      </c>
      <c r="D18" s="56">
        <f>IF(OR(A18&lt;=Inputs!$B$21,A18&gt;Inputs!$B$21+Configurations!$C$15),0,Configurations!$C$4*Configurations!$C$5*8760*(1-Configurations!$C$6)^C18*Configurations!$C$7*(1-Configurations!$C$8))</f>
        <v>421934.14414715761</v>
      </c>
      <c r="E18" s="55">
        <f>IF(OR(A18&lt;=Inputs!$B$21,A18&gt;Inputs!$B$21+Configurations!$C$15),0,IF(A18&lt;=Inputs!$B$21+Inputs!$B$5,D18*(1-Inputs!$B$10)*Configurations!$C$16/1000000,D18*Inputs!$B$18/1000000))</f>
        <v>30.379258378595349</v>
      </c>
      <c r="F18" s="55">
        <f>IF(OR(A18&lt;=Inputs!$B$21,A18&gt;Inputs!$B$21+Configurations!$C$15),0,Configurations!$C$12+Configurations!$C$13+Configurations!$C$14+Inputs!$B$20*E18)</f>
        <v>9.5416888756789309</v>
      </c>
      <c r="G18" s="55">
        <f t="shared" si="0"/>
        <v>20.837569502916416</v>
      </c>
      <c r="H18" s="63">
        <f>IF(AND(A18&gt;Inputs!$B$21,A18&lt;=Inputs!$B$21+Inputs!$B$12),Capitalization!E$12,0)</f>
        <v>15.620420537620987</v>
      </c>
      <c r="I18" s="55">
        <f t="shared" si="1"/>
        <v>5.2171489652954293</v>
      </c>
      <c r="J18" s="64">
        <f ca="1">IF(A18&lt;=Inputs!$B$21,"",IF(AND(A18&lt;=Inputs!$B$22,Capitalization!E$18&gt;0),Inputs!$B$25,Inputs!$B$26))</f>
        <v>0.97499999999999998</v>
      </c>
      <c r="K18" s="55">
        <f ca="1">IF(A18=0,-Capitalization!E$19,IF(A18&lt;=Inputs!$B$21,0,I18*J18-IF(AND(A18=Inputs!$B$22,Capitalization!E$18&gt;0),Inputs!$B$23,0)))</f>
        <v>5.086720241163043</v>
      </c>
      <c r="L18" s="65">
        <f t="shared" si="2"/>
        <v>1.333995423025276</v>
      </c>
      <c r="M18" s="55">
        <f>IF(A18=0,-Capitalization!E$4,IF(A18&lt;=Inputs!$B$21,0,G18))</f>
        <v>20.837569502916416</v>
      </c>
    </row>
    <row r="19" spans="1:13" ht="15" customHeight="1" x14ac:dyDescent="0.2">
      <c r="A19" s="44">
        <v>14</v>
      </c>
      <c r="B19" s="44" t="str">
        <f>IF(A19=0,"Equity",IF(A19&lt;=Inputs!$B$21,"Construction",IF(A19&lt;=Inputs!$B$21+Inputs!$B$5,"Queue wait",IF(A19&lt;=Inputs!$B$21+Configurations!$C$15,"Grid ops"," "))))</f>
        <v>Grid ops</v>
      </c>
      <c r="C19" s="44">
        <f>IF(A19&lt;=Inputs!$B$21,"",A19-Inputs!$B$21-1)</f>
        <v>11</v>
      </c>
      <c r="D19" s="56">
        <f>IF(OR(A19&lt;=Inputs!$B$21,A19&gt;Inputs!$B$21+Configurations!$C$15),0,Configurations!$C$4*Configurations!$C$5*8760*(1-Configurations!$C$6)^C19*Configurations!$C$7*(1-Configurations!$C$8))</f>
        <v>421090.27585886326</v>
      </c>
      <c r="E19" s="55">
        <f>IF(OR(A19&lt;=Inputs!$B$21,A19&gt;Inputs!$B$21+Configurations!$C$15),0,IF(A19&lt;=Inputs!$B$21+Inputs!$B$5,D19*(1-Inputs!$B$10)*Configurations!$C$16/1000000,D19*Inputs!$B$18/1000000))</f>
        <v>30.318499861838156</v>
      </c>
      <c r="F19" s="55">
        <f>IF(OR(A19&lt;=Inputs!$B$21,A19&gt;Inputs!$B$21+Configurations!$C$15),0,Configurations!$C$12+Configurations!$C$13+Configurations!$C$14+Inputs!$B$20*E19)</f>
        <v>9.5407774979275732</v>
      </c>
      <c r="G19" s="55">
        <f t="shared" si="0"/>
        <v>20.777722363910584</v>
      </c>
      <c r="H19" s="63">
        <f>IF(AND(A19&gt;Inputs!$B$21,A19&lt;=Inputs!$B$21+Inputs!$B$12),Capitalization!E$12,0)</f>
        <v>15.620420537620987</v>
      </c>
      <c r="I19" s="55">
        <f t="shared" si="1"/>
        <v>5.1573018262895971</v>
      </c>
      <c r="J19" s="64">
        <f ca="1">IF(A19&lt;=Inputs!$B$21,"",IF(AND(A19&lt;=Inputs!$B$22,Capitalization!E$18&gt;0),Inputs!$B$25,Inputs!$B$26))</f>
        <v>0.97499999999999998</v>
      </c>
      <c r="K19" s="55">
        <f ca="1">IF(A19=0,-Capitalization!E$19,IF(A19&lt;=Inputs!$B$21,0,I19*J19-IF(AND(A19=Inputs!$B$22,Capitalization!E$18&gt;0),Inputs!$B$23,0)))</f>
        <v>5.028369280632357</v>
      </c>
      <c r="L19" s="65">
        <f t="shared" si="2"/>
        <v>1.3301640832184063</v>
      </c>
      <c r="M19" s="55">
        <f>IF(A19=0,-Capitalization!E$4,IF(A19&lt;=Inputs!$B$21,0,G19))</f>
        <v>20.777722363910584</v>
      </c>
    </row>
    <row r="20" spans="1:13" ht="15" customHeight="1" x14ac:dyDescent="0.2">
      <c r="A20" s="44">
        <v>15</v>
      </c>
      <c r="B20" s="44" t="str">
        <f>IF(A20=0,"Equity",IF(A20&lt;=Inputs!$B$21,"Construction",IF(A20&lt;=Inputs!$B$21+Inputs!$B$5,"Queue wait",IF(A20&lt;=Inputs!$B$21+Configurations!$C$15,"Grid ops"," "))))</f>
        <v>Grid ops</v>
      </c>
      <c r="C20" s="44">
        <f>IF(A20&lt;=Inputs!$B$21,"",A20-Inputs!$B$21-1)</f>
        <v>12</v>
      </c>
      <c r="D20" s="56">
        <f>IF(OR(A20&lt;=Inputs!$B$21,A20&gt;Inputs!$B$21+Configurations!$C$15),0,Configurations!$C$4*Configurations!$C$5*8760*(1-Configurations!$C$6)^C20*Configurations!$C$7*(1-Configurations!$C$8))</f>
        <v>420248.09530714562</v>
      </c>
      <c r="E20" s="55">
        <f>IF(OR(A20&lt;=Inputs!$B$21,A20&gt;Inputs!$B$21+Configurations!$C$15),0,IF(A20&lt;=Inputs!$B$21+Inputs!$B$5,D20*(1-Inputs!$B$10)*Configurations!$C$16/1000000,D20*Inputs!$B$18/1000000))</f>
        <v>30.257862862114486</v>
      </c>
      <c r="F20" s="55">
        <f>IF(OR(A20&lt;=Inputs!$B$21,A20&gt;Inputs!$B$21+Configurations!$C$15),0,Configurations!$C$12+Configurations!$C$13+Configurations!$C$14+Inputs!$B$20*E20)</f>
        <v>9.5398679429317177</v>
      </c>
      <c r="G20" s="55">
        <f t="shared" si="0"/>
        <v>20.717994919182768</v>
      </c>
      <c r="H20" s="63">
        <f>IF(AND(A20&gt;Inputs!$B$21,A20&lt;=Inputs!$B$21+Inputs!$B$12),Capitalization!E$12,0)</f>
        <v>15.620420537620987</v>
      </c>
      <c r="I20" s="55">
        <f t="shared" si="1"/>
        <v>5.0975743815617811</v>
      </c>
      <c r="J20" s="64">
        <f ca="1">IF(A20&lt;=Inputs!$B$21,"",IF(AND(A20&lt;=Inputs!$B$22,Capitalization!E$18&gt;0),Inputs!$B$25,Inputs!$B$26))</f>
        <v>0.97499999999999998</v>
      </c>
      <c r="K20" s="55">
        <f ca="1">IF(A20=0,-Capitalization!E$19,IF(A20&lt;=Inputs!$B$21,0,I20*J20-IF(AND(A20=Inputs!$B$22,Capitalization!E$18&gt;0),Inputs!$B$23,0)))</f>
        <v>4.9701350220227365</v>
      </c>
      <c r="L20" s="65">
        <f t="shared" si="2"/>
        <v>1.3263404060911506</v>
      </c>
      <c r="M20" s="55">
        <f>IF(A20=0,-Capitalization!E$4,IF(A20&lt;=Inputs!$B$21,0,G20))</f>
        <v>20.717994919182768</v>
      </c>
    </row>
    <row r="21" spans="1:13" ht="15" customHeight="1" x14ac:dyDescent="0.2">
      <c r="A21" s="44">
        <v>16</v>
      </c>
      <c r="B21" s="44" t="str">
        <f>IF(A21=0,"Equity",IF(A21&lt;=Inputs!$B$21,"Construction",IF(A21&lt;=Inputs!$B$21+Inputs!$B$5,"Queue wait",IF(A21&lt;=Inputs!$B$21+Configurations!$C$15,"Grid ops"," "))))</f>
        <v>Grid ops</v>
      </c>
      <c r="C21" s="44">
        <f>IF(A21&lt;=Inputs!$B$21,"",A21-Inputs!$B$21-1)</f>
        <v>13</v>
      </c>
      <c r="D21" s="56">
        <f>IF(OR(A21&lt;=Inputs!$B$21,A21&gt;Inputs!$B$21+Configurations!$C$15),0,Configurations!$C$4*Configurations!$C$5*8760*(1-Configurations!$C$6)^C21*Configurations!$C$7*(1-Configurations!$C$8))</f>
        <v>419407.59911653126</v>
      </c>
      <c r="E21" s="55">
        <f>IF(OR(A21&lt;=Inputs!$B$21,A21&gt;Inputs!$B$21+Configurations!$C$15),0,IF(A21&lt;=Inputs!$B$21+Inputs!$B$5,D21*(1-Inputs!$B$10)*Configurations!$C$16/1000000,D21*Inputs!$B$18/1000000))</f>
        <v>30.197347136390249</v>
      </c>
      <c r="F21" s="55">
        <f>IF(OR(A21&lt;=Inputs!$B$21,A21&gt;Inputs!$B$21+Configurations!$C$15),0,Configurations!$C$12+Configurations!$C$13+Configurations!$C$14+Inputs!$B$20*E21)</f>
        <v>9.5389602070458537</v>
      </c>
      <c r="G21" s="55">
        <f t="shared" si="0"/>
        <v>20.658386929344395</v>
      </c>
      <c r="H21" s="63">
        <f>IF(AND(A21&gt;Inputs!$B$21,A21&lt;=Inputs!$B$21+Inputs!$B$12),Capitalization!E$12,0)</f>
        <v>15.620420537620987</v>
      </c>
      <c r="I21" s="55">
        <f t="shared" si="1"/>
        <v>5.0379663917234083</v>
      </c>
      <c r="J21" s="64">
        <f ca="1">IF(A21&lt;=Inputs!$B$21,"",IF(AND(A21&lt;=Inputs!$B$22,Capitalization!E$18&gt;0),Inputs!$B$25,Inputs!$B$26))</f>
        <v>0.97499999999999998</v>
      </c>
      <c r="K21" s="55">
        <f ca="1">IF(A21=0,-Capitalization!E$19,IF(A21&lt;=Inputs!$B$21,0,I21*J21-IF(AND(A21=Inputs!$B$22,Capitalization!E$18&gt;0),Inputs!$B$23,0)))</f>
        <v>4.9120172319303226</v>
      </c>
      <c r="L21" s="65">
        <f t="shared" si="2"/>
        <v>1.3225243763181487</v>
      </c>
      <c r="M21" s="55">
        <f>IF(A21=0,-Capitalization!E$4,IF(A21&lt;=Inputs!$B$21,0,G21))</f>
        <v>20.658386929344395</v>
      </c>
    </row>
    <row r="22" spans="1:13" ht="15" customHeight="1" x14ac:dyDescent="0.2">
      <c r="A22" s="44">
        <v>17</v>
      </c>
      <c r="B22" s="44" t="str">
        <f>IF(A22=0,"Equity",IF(A22&lt;=Inputs!$B$21,"Construction",IF(A22&lt;=Inputs!$B$21+Inputs!$B$5,"Queue wait",IF(A22&lt;=Inputs!$B$21+Configurations!$C$15,"Grid ops"," "))))</f>
        <v>Grid ops</v>
      </c>
      <c r="C22" s="44">
        <f>IF(A22&lt;=Inputs!$B$21,"",A22-Inputs!$B$21-1)</f>
        <v>14</v>
      </c>
      <c r="D22" s="56">
        <f>IF(OR(A22&lt;=Inputs!$B$21,A22&gt;Inputs!$B$21+Configurations!$C$15),0,Configurations!$C$4*Configurations!$C$5*8760*(1-Configurations!$C$6)^C22*Configurations!$C$7*(1-Configurations!$C$8))</f>
        <v>418568.78391829826</v>
      </c>
      <c r="E22" s="55">
        <f>IF(OR(A22&lt;=Inputs!$B$21,A22&gt;Inputs!$B$21+Configurations!$C$15),0,IF(A22&lt;=Inputs!$B$21+Inputs!$B$5,D22*(1-Inputs!$B$10)*Configurations!$C$16/1000000,D22*Inputs!$B$18/1000000))</f>
        <v>30.136952442117476</v>
      </c>
      <c r="F22" s="55">
        <f>IF(OR(A22&lt;=Inputs!$B$21,A22&gt;Inputs!$B$21+Configurations!$C$15),0,Configurations!$C$12+Configurations!$C$13+Configurations!$C$14+Inputs!$B$20*E22)</f>
        <v>9.5380542866317626</v>
      </c>
      <c r="G22" s="55">
        <f t="shared" si="0"/>
        <v>20.598898155485713</v>
      </c>
      <c r="H22" s="63">
        <f>IF(AND(A22&gt;Inputs!$B$21,A22&lt;=Inputs!$B$21+Inputs!$B$12),Capitalization!E$12,0)</f>
        <v>15.620420537620987</v>
      </c>
      <c r="I22" s="55">
        <f t="shared" si="1"/>
        <v>4.9784776178647263</v>
      </c>
      <c r="J22" s="64">
        <f ca="1">IF(A22&lt;=Inputs!$B$21,"",IF(AND(A22&lt;=Inputs!$B$22,Capitalization!E$18&gt;0),Inputs!$B$25,Inputs!$B$26))</f>
        <v>0.97499999999999998</v>
      </c>
      <c r="K22" s="55">
        <f ca="1">IF(A22=0,-Capitalization!E$19,IF(A22&lt;=Inputs!$B$21,0,I22*J22-IF(AND(A22=Inputs!$B$22,Capitalization!E$18&gt;0),Inputs!$B$23,0)))</f>
        <v>4.8540156774181078</v>
      </c>
      <c r="L22" s="65">
        <f t="shared" si="2"/>
        <v>1.3187159786046936</v>
      </c>
      <c r="M22" s="55">
        <f>IF(A22=0,-Capitalization!E$4,IF(A22&lt;=Inputs!$B$21,0,G22))</f>
        <v>20.598898155485713</v>
      </c>
    </row>
    <row r="23" spans="1:13" ht="15" customHeight="1" x14ac:dyDescent="0.2">
      <c r="A23" s="44">
        <v>18</v>
      </c>
      <c r="B23" s="44" t="str">
        <f>IF(A23=0,"Equity",IF(A23&lt;=Inputs!$B$21,"Construction",IF(A23&lt;=Inputs!$B$21+Inputs!$B$5,"Queue wait",IF(A23&lt;=Inputs!$B$21+Configurations!$C$15,"Grid ops"," "))))</f>
        <v>Grid ops</v>
      </c>
      <c r="C23" s="44">
        <f>IF(A23&lt;=Inputs!$B$21,"",A23-Inputs!$B$21-1)</f>
        <v>15</v>
      </c>
      <c r="D23" s="56">
        <f>IF(OR(A23&lt;=Inputs!$B$21,A23&gt;Inputs!$B$21+Configurations!$C$15),0,Configurations!$C$4*Configurations!$C$5*8760*(1-Configurations!$C$6)^C23*Configurations!$C$7*(1-Configurations!$C$8))</f>
        <v>417731.64635046158</v>
      </c>
      <c r="E23" s="55">
        <f>IF(OR(A23&lt;=Inputs!$B$21,A23&gt;Inputs!$B$21+Configurations!$C$15),0,IF(A23&lt;=Inputs!$B$21+Inputs!$B$5,D23*(1-Inputs!$B$10)*Configurations!$C$16/1000000,D23*Inputs!$B$18/1000000))</f>
        <v>30.076678537233235</v>
      </c>
      <c r="F23" s="55">
        <f>IF(OR(A23&lt;=Inputs!$B$21,A23&gt;Inputs!$B$21+Configurations!$C$15),0,Configurations!$C$12+Configurations!$C$13+Configurations!$C$14+Inputs!$B$20*E23)</f>
        <v>9.5371501780584982</v>
      </c>
      <c r="G23" s="55">
        <f t="shared" si="0"/>
        <v>20.539528359174739</v>
      </c>
      <c r="H23" s="63">
        <f>IF(AND(A23&gt;Inputs!$B$21,A23&lt;=Inputs!$B$21+Inputs!$B$12),Capitalization!E$12,0)</f>
        <v>15.620420537620987</v>
      </c>
      <c r="I23" s="55">
        <f t="shared" si="1"/>
        <v>4.9191078215537516</v>
      </c>
      <c r="J23" s="64">
        <f ca="1">IF(A23&lt;=Inputs!$B$21,"",IF(AND(A23&lt;=Inputs!$B$22,Capitalization!E$18&gt;0),Inputs!$B$25,Inputs!$B$26))</f>
        <v>0.97499999999999998</v>
      </c>
      <c r="K23" s="55">
        <f ca="1">IF(A23=0,-Capitalization!E$19,IF(A23&lt;=Inputs!$B$21,0,I23*J23-IF(AND(A23=Inputs!$B$22,Capitalization!E$18&gt;0),Inputs!$B$23,0)))</f>
        <v>4.7961301260149076</v>
      </c>
      <c r="L23" s="65">
        <f t="shared" si="2"/>
        <v>1.3149151976866649</v>
      </c>
      <c r="M23" s="55">
        <f>IF(A23=0,-Capitalization!E$4,IF(A23&lt;=Inputs!$B$21,0,G23))</f>
        <v>20.539528359174739</v>
      </c>
    </row>
    <row r="24" spans="1:13" ht="15" customHeight="1" x14ac:dyDescent="0.2">
      <c r="A24" s="44">
        <v>19</v>
      </c>
      <c r="B24" s="44" t="str">
        <f>IF(A24=0,"Equity",IF(A24&lt;=Inputs!$B$21,"Construction",IF(A24&lt;=Inputs!$B$21+Inputs!$B$5,"Queue wait",IF(A24&lt;=Inputs!$B$21+Configurations!$C$15,"Grid ops"," "))))</f>
        <v>Grid ops</v>
      </c>
      <c r="C24" s="44">
        <f>IF(A24&lt;=Inputs!$B$21,"",A24-Inputs!$B$21-1)</f>
        <v>16</v>
      </c>
      <c r="D24" s="56">
        <f>IF(OR(A24&lt;=Inputs!$B$21,A24&gt;Inputs!$B$21+Configurations!$C$15),0,Configurations!$C$4*Configurations!$C$5*8760*(1-Configurations!$C$6)^C24*Configurations!$C$7*(1-Configurations!$C$8))</f>
        <v>416896.18305776076</v>
      </c>
      <c r="E24" s="55">
        <f>IF(OR(A24&lt;=Inputs!$B$21,A24&gt;Inputs!$B$21+Configurations!$C$15),0,IF(A24&lt;=Inputs!$B$21+Inputs!$B$5,D24*(1-Inputs!$B$10)*Configurations!$C$16/1000000,D24*Inputs!$B$18/1000000))</f>
        <v>30.016525180158776</v>
      </c>
      <c r="F24" s="55">
        <f>IF(OR(A24&lt;=Inputs!$B$21,A24&gt;Inputs!$B$21+Configurations!$C$15),0,Configurations!$C$12+Configurations!$C$13+Configurations!$C$14+Inputs!$B$20*E24)</f>
        <v>9.5362478777023814</v>
      </c>
      <c r="G24" s="55">
        <f t="shared" si="0"/>
        <v>20.480277302456393</v>
      </c>
      <c r="H24" s="63">
        <f>IF(AND(A24&gt;Inputs!$B$21,A24&lt;=Inputs!$B$21+Inputs!$B$12),Capitalization!E$12,0)</f>
        <v>15.620420537620987</v>
      </c>
      <c r="I24" s="55">
        <f t="shared" si="1"/>
        <v>4.8598567648354063</v>
      </c>
      <c r="J24" s="64">
        <f ca="1">IF(A24&lt;=Inputs!$B$21,"",IF(AND(A24&lt;=Inputs!$B$22,Capitalization!E$18&gt;0),Inputs!$B$25,Inputs!$B$26))</f>
        <v>0.97499999999999998</v>
      </c>
      <c r="K24" s="55">
        <f ca="1">IF(A24=0,-Capitalization!E$19,IF(A24&lt;=Inputs!$B$21,0,I24*J24-IF(AND(A24=Inputs!$B$22,Capitalization!E$18&gt;0),Inputs!$B$23,0)))</f>
        <v>4.7383603457145211</v>
      </c>
      <c r="L24" s="65">
        <f t="shared" si="2"/>
        <v>1.3111220183304726</v>
      </c>
      <c r="M24" s="55">
        <f>IF(A24=0,-Capitalization!E$4,IF(A24&lt;=Inputs!$B$21,0,G24))</f>
        <v>20.480277302456393</v>
      </c>
    </row>
    <row r="25" spans="1:13" ht="15" customHeight="1" x14ac:dyDescent="0.2">
      <c r="A25" s="44">
        <v>20</v>
      </c>
      <c r="B25" s="44" t="str">
        <f>IF(A25=0,"Equity",IF(A25&lt;=Inputs!$B$21,"Construction",IF(A25&lt;=Inputs!$B$21+Inputs!$B$5,"Queue wait",IF(A25&lt;=Inputs!$B$21+Configurations!$C$15,"Grid ops"," "))))</f>
        <v>Grid ops</v>
      </c>
      <c r="C25" s="44">
        <f>IF(A25&lt;=Inputs!$B$21,"",A25-Inputs!$B$21-1)</f>
        <v>17</v>
      </c>
      <c r="D25" s="56">
        <f>IF(OR(A25&lt;=Inputs!$B$21,A25&gt;Inputs!$B$21+Configurations!$C$15),0,Configurations!$C$4*Configurations!$C$5*8760*(1-Configurations!$C$6)^C25*Configurations!$C$7*(1-Configurations!$C$8))</f>
        <v>416062.39069164521</v>
      </c>
      <c r="E25" s="55">
        <f>IF(OR(A25&lt;=Inputs!$B$21,A25&gt;Inputs!$B$21+Configurations!$C$15),0,IF(A25&lt;=Inputs!$B$21+Inputs!$B$5,D25*(1-Inputs!$B$10)*Configurations!$C$16/1000000,D25*Inputs!$B$18/1000000))</f>
        <v>29.956492129798455</v>
      </c>
      <c r="F25" s="55">
        <f>IF(OR(A25&lt;=Inputs!$B$21,A25&gt;Inputs!$B$21+Configurations!$C$15),0,Configurations!$C$12+Configurations!$C$13+Configurations!$C$14+Inputs!$B$20*E25)</f>
        <v>9.535347381946977</v>
      </c>
      <c r="G25" s="55">
        <f t="shared" si="0"/>
        <v>20.421144747851478</v>
      </c>
      <c r="H25" s="63">
        <f>IF(AND(A25&gt;Inputs!$B$21,A25&lt;=Inputs!$B$21+Inputs!$B$12),Capitalization!E$12,0)</f>
        <v>15.620420537620987</v>
      </c>
      <c r="I25" s="55">
        <f t="shared" si="1"/>
        <v>4.8007242102304915</v>
      </c>
      <c r="J25" s="64">
        <f ca="1">IF(A25&lt;=Inputs!$B$21,"",IF(AND(A25&lt;=Inputs!$B$22,Capitalization!E$18&gt;0),Inputs!$B$25,Inputs!$B$26))</f>
        <v>0.97499999999999998</v>
      </c>
      <c r="K25" s="55">
        <f ca="1">IF(A25=0,-Capitalization!E$19,IF(A25&lt;=Inputs!$B$21,0,I25*J25-IF(AND(A25=Inputs!$B$22,Capitalization!E$18&gt;0),Inputs!$B$23,0)))</f>
        <v>4.6807061049747292</v>
      </c>
      <c r="L25" s="65">
        <f t="shared" si="2"/>
        <v>1.3073364253329922</v>
      </c>
      <c r="M25" s="55">
        <f>IF(A25=0,-Capitalization!E$4,IF(A25&lt;=Inputs!$B$21,0,G25))</f>
        <v>20.421144747851478</v>
      </c>
    </row>
    <row r="26" spans="1:13" ht="15" customHeight="1" x14ac:dyDescent="0.2">
      <c r="A26" s="44">
        <v>21</v>
      </c>
      <c r="B26" s="44" t="str">
        <f>IF(A26=0,"Equity",IF(A26&lt;=Inputs!$B$21,"Construction",IF(A26&lt;=Inputs!$B$21+Inputs!$B$5,"Queue wait",IF(A26&lt;=Inputs!$B$21+Configurations!$C$15,"Grid ops"," "))))</f>
        <v>Grid ops</v>
      </c>
      <c r="C26" s="44">
        <f>IF(A26&lt;=Inputs!$B$21,"",A26-Inputs!$B$21-1)</f>
        <v>18</v>
      </c>
      <c r="D26" s="56">
        <f>IF(OR(A26&lt;=Inputs!$B$21,A26&gt;Inputs!$B$21+Configurations!$C$15),0,Configurations!$C$4*Configurations!$C$5*8760*(1-Configurations!$C$6)^C26*Configurations!$C$7*(1-Configurations!$C$8))</f>
        <v>415230.26591026189</v>
      </c>
      <c r="E26" s="55">
        <f>IF(OR(A26&lt;=Inputs!$B$21,A26&gt;Inputs!$B$21+Configurations!$C$15),0,IF(A26&lt;=Inputs!$B$21+Inputs!$B$5,D26*(1-Inputs!$B$10)*Configurations!$C$16/1000000,D26*Inputs!$B$18/1000000))</f>
        <v>29.896579145538855</v>
      </c>
      <c r="F26" s="55">
        <f>IF(OR(A26&lt;=Inputs!$B$21,A26&gt;Inputs!$B$21+Configurations!$C$15),0,Configurations!$C$12+Configurations!$C$13+Configurations!$C$14+Inputs!$B$20*E26)</f>
        <v>9.5344486871830831</v>
      </c>
      <c r="G26" s="55">
        <f t="shared" si="0"/>
        <v>20.362130458355772</v>
      </c>
      <c r="H26" s="63">
        <f>IF(AND(A26&gt;Inputs!$B$21,A26&lt;=Inputs!$B$21+Inputs!$B$12),Capitalization!E$12,0)</f>
        <v>15.620420537620987</v>
      </c>
      <c r="I26" s="55">
        <f t="shared" si="1"/>
        <v>4.7417099207347846</v>
      </c>
      <c r="J26" s="64">
        <f ca="1">IF(A26&lt;=Inputs!$B$21,"",IF(AND(A26&lt;=Inputs!$B$22,Capitalization!E$18&gt;0),Inputs!$B$25,Inputs!$B$26))</f>
        <v>0.97499999999999998</v>
      </c>
      <c r="K26" s="55">
        <f ca="1">IF(A26=0,-Capitalization!E$19,IF(A26&lt;=Inputs!$B$21,0,I26*J26-IF(AND(A26=Inputs!$B$22,Capitalization!E$18&gt;0),Inputs!$B$23,0)))</f>
        <v>4.623167172716415</v>
      </c>
      <c r="L26" s="65">
        <f t="shared" si="2"/>
        <v>1.3035584035215069</v>
      </c>
      <c r="M26" s="55">
        <f>IF(A26=0,-Capitalization!E$4,IF(A26&lt;=Inputs!$B$21,0,G26))</f>
        <v>20.362130458355772</v>
      </c>
    </row>
    <row r="27" spans="1:13" ht="15" customHeight="1" x14ac:dyDescent="0.2">
      <c r="A27" s="44">
        <v>22</v>
      </c>
      <c r="B27" s="44" t="str">
        <f>IF(A27=0,"Equity",IF(A27&lt;=Inputs!$B$21,"Construction",IF(A27&lt;=Inputs!$B$21+Inputs!$B$5,"Queue wait",IF(A27&lt;=Inputs!$B$21+Configurations!$C$15,"Grid ops"," "))))</f>
        <v>Grid ops</v>
      </c>
      <c r="C27" s="44">
        <f>IF(A27&lt;=Inputs!$B$21,"",A27-Inputs!$B$21-1)</f>
        <v>19</v>
      </c>
      <c r="D27" s="56">
        <f>IF(OR(A27&lt;=Inputs!$B$21,A27&gt;Inputs!$B$21+Configurations!$C$15),0,Configurations!$C$4*Configurations!$C$5*8760*(1-Configurations!$C$6)^C27*Configurations!$C$7*(1-Configurations!$C$8))</f>
        <v>414399.80537844135</v>
      </c>
      <c r="E27" s="55">
        <f>IF(OR(A27&lt;=Inputs!$B$21,A27&gt;Inputs!$B$21+Configurations!$C$15),0,IF(A27&lt;=Inputs!$B$21+Inputs!$B$5,D27*(1-Inputs!$B$10)*Configurations!$C$16/1000000,D27*Inputs!$B$18/1000000))</f>
        <v>29.836785987247776</v>
      </c>
      <c r="F27" s="55">
        <f>IF(OR(A27&lt;=Inputs!$B$21,A27&gt;Inputs!$B$21+Configurations!$C$15),0,Configurations!$C$12+Configurations!$C$13+Configurations!$C$14+Inputs!$B$20*E27)</f>
        <v>9.5335517898087172</v>
      </c>
      <c r="G27" s="55">
        <f t="shared" si="0"/>
        <v>20.30323419743906</v>
      </c>
      <c r="H27" s="63">
        <f>IF(AND(A27&gt;Inputs!$B$21,A27&lt;=Inputs!$B$21+Inputs!$B$12),Capitalization!E$12,0)</f>
        <v>15.620420537620987</v>
      </c>
      <c r="I27" s="55">
        <f t="shared" si="1"/>
        <v>4.6828136598180734</v>
      </c>
      <c r="J27" s="64">
        <f ca="1">IF(A27&lt;=Inputs!$B$21,"",IF(AND(A27&lt;=Inputs!$B$22,Capitalization!E$18&gt;0),Inputs!$B$25,Inputs!$B$26))</f>
        <v>0.97499999999999998</v>
      </c>
      <c r="K27" s="55">
        <f ca="1">IF(A27=0,-Capitalization!E$19,IF(A27&lt;=Inputs!$B$21,0,I27*J27-IF(AND(A27=Inputs!$B$22,Capitalization!E$18&gt;0),Inputs!$B$23,0)))</f>
        <v>4.565743318322621</v>
      </c>
      <c r="L27" s="65">
        <f t="shared" si="2"/>
        <v>1.2997879377536448</v>
      </c>
      <c r="M27" s="55">
        <f>IF(A27=0,-Capitalization!E$4,IF(A27&lt;=Inputs!$B$21,0,G27))</f>
        <v>20.30323419743906</v>
      </c>
    </row>
    <row r="28" spans="1:13" ht="15" customHeight="1" x14ac:dyDescent="0.2">
      <c r="A28" s="44">
        <v>23</v>
      </c>
      <c r="B28" s="44" t="str">
        <f>IF(A28=0,"Equity",IF(A28&lt;=Inputs!$B$21,"Construction",IF(A28&lt;=Inputs!$B$21+Inputs!$B$5,"Queue wait",IF(A28&lt;=Inputs!$B$21+Configurations!$C$15,"Grid ops"," "))))</f>
        <v>Grid ops</v>
      </c>
      <c r="C28" s="44">
        <f>IF(A28&lt;=Inputs!$B$21,"",A28-Inputs!$B$21-1)</f>
        <v>20</v>
      </c>
      <c r="D28" s="56">
        <f>IF(OR(A28&lt;=Inputs!$B$21,A28&gt;Inputs!$B$21+Configurations!$C$15),0,Configurations!$C$4*Configurations!$C$5*8760*(1-Configurations!$C$6)^C28*Configurations!$C$7*(1-Configurations!$C$8))</f>
        <v>413571.00576768449</v>
      </c>
      <c r="E28" s="55">
        <f>IF(OR(A28&lt;=Inputs!$B$21,A28&gt;Inputs!$B$21+Configurations!$C$15),0,IF(A28&lt;=Inputs!$B$21+Inputs!$B$5,D28*(1-Inputs!$B$10)*Configurations!$C$16/1000000,D28*Inputs!$B$18/1000000))</f>
        <v>29.777112415273283</v>
      </c>
      <c r="F28" s="55">
        <f>IF(OR(A28&lt;=Inputs!$B$21,A28&gt;Inputs!$B$21+Configurations!$C$15),0,Configurations!$C$12+Configurations!$C$13+Configurations!$C$14+Inputs!$B$20*E28)</f>
        <v>9.5326566862290996</v>
      </c>
      <c r="G28" s="55">
        <f t="shared" si="0"/>
        <v>20.244455729044184</v>
      </c>
      <c r="H28" s="63">
        <f>IF(AND(A28&gt;Inputs!$B$21,A28&lt;=Inputs!$B$21+Inputs!$B$12),Capitalization!E$12,0)</f>
        <v>0</v>
      </c>
      <c r="I28" s="55">
        <f t="shared" si="1"/>
        <v>20.244455729044184</v>
      </c>
      <c r="J28" s="64">
        <f ca="1">IF(A28&lt;=Inputs!$B$21,"",IF(AND(A28&lt;=Inputs!$B$22,Capitalization!E$18&gt;0),Inputs!$B$25,Inputs!$B$26))</f>
        <v>0.97499999999999998</v>
      </c>
      <c r="K28" s="55">
        <f ca="1">IF(A28=0,-Capitalization!E$19,IF(A28&lt;=Inputs!$B$21,0,I28*J28-IF(AND(A28=Inputs!$B$22,Capitalization!E$18&gt;0),Inputs!$B$23,0)))</f>
        <v>19.738344335818077</v>
      </c>
      <c r="L28" s="65" t="str">
        <f t="shared" si="2"/>
        <v/>
      </c>
      <c r="M28" s="55">
        <f>IF(A28=0,-Capitalization!E$4,IF(A28&lt;=Inputs!$B$21,0,G28))</f>
        <v>20.244455729044184</v>
      </c>
    </row>
    <row r="29" spans="1:13" ht="15" customHeight="1" x14ac:dyDescent="0.2">
      <c r="A29" s="44">
        <v>24</v>
      </c>
      <c r="B29" s="44" t="str">
        <f>IF(A29=0,"Equity",IF(A29&lt;=Inputs!$B$21,"Construction",IF(A29&lt;=Inputs!$B$21+Inputs!$B$5,"Queue wait",IF(A29&lt;=Inputs!$B$21+Configurations!$C$15,"Grid ops"," "))))</f>
        <v>Grid ops</v>
      </c>
      <c r="C29" s="44">
        <f>IF(A29&lt;=Inputs!$B$21,"",A29-Inputs!$B$21-1)</f>
        <v>21</v>
      </c>
      <c r="D29" s="56">
        <f>IF(OR(A29&lt;=Inputs!$B$21,A29&gt;Inputs!$B$21+Configurations!$C$15),0,Configurations!$C$4*Configurations!$C$5*8760*(1-Configurations!$C$6)^C29*Configurations!$C$7*(1-Configurations!$C$8))</f>
        <v>412743.86375614913</v>
      </c>
      <c r="E29" s="55">
        <f>IF(OR(A29&lt;=Inputs!$B$21,A29&gt;Inputs!$B$21+Configurations!$C$15),0,IF(A29&lt;=Inputs!$B$21+Inputs!$B$5,D29*(1-Inputs!$B$10)*Configurations!$C$16/1000000,D29*Inputs!$B$18/1000000))</f>
        <v>29.717558190442737</v>
      </c>
      <c r="F29" s="55">
        <f>IF(OR(A29&lt;=Inputs!$B$21,A29&gt;Inputs!$B$21+Configurations!$C$15),0,Configurations!$C$12+Configurations!$C$13+Configurations!$C$14+Inputs!$B$20*E29)</f>
        <v>9.5317633728566413</v>
      </c>
      <c r="G29" s="55">
        <f t="shared" si="0"/>
        <v>20.185794817586096</v>
      </c>
      <c r="H29" s="63">
        <f>IF(AND(A29&gt;Inputs!$B$21,A29&lt;=Inputs!$B$21+Inputs!$B$12),Capitalization!E$12,0)</f>
        <v>0</v>
      </c>
      <c r="I29" s="55">
        <f t="shared" si="1"/>
        <v>20.185794817586096</v>
      </c>
      <c r="J29" s="64">
        <f ca="1">IF(A29&lt;=Inputs!$B$21,"",IF(AND(A29&lt;=Inputs!$B$22,Capitalization!E$18&gt;0),Inputs!$B$25,Inputs!$B$26))</f>
        <v>0.97499999999999998</v>
      </c>
      <c r="K29" s="55">
        <f ca="1">IF(A29=0,-Capitalization!E$19,IF(A29&lt;=Inputs!$B$21,0,I29*J29-IF(AND(A29=Inputs!$B$22,Capitalization!E$18&gt;0),Inputs!$B$23,0)))</f>
        <v>19.681149947146444</v>
      </c>
      <c r="L29" s="65" t="str">
        <f t="shared" si="2"/>
        <v/>
      </c>
      <c r="M29" s="55">
        <f>IF(A29=0,-Capitalization!E$4,IF(A29&lt;=Inputs!$B$21,0,G29))</f>
        <v>20.185794817586096</v>
      </c>
    </row>
    <row r="30" spans="1:13" ht="15" customHeight="1" x14ac:dyDescent="0.2">
      <c r="A30" s="44">
        <v>25</v>
      </c>
      <c r="B30" s="44" t="str">
        <f>IF(A30=0,"Equity",IF(A30&lt;=Inputs!$B$21,"Construction",IF(A30&lt;=Inputs!$B$21+Inputs!$B$5,"Queue wait",IF(A30&lt;=Inputs!$B$21+Configurations!$C$15,"Grid ops"," "))))</f>
        <v>Grid ops</v>
      </c>
      <c r="C30" s="44">
        <f>IF(A30&lt;=Inputs!$B$21,"",A30-Inputs!$B$21-1)</f>
        <v>22</v>
      </c>
      <c r="D30" s="56">
        <f>IF(OR(A30&lt;=Inputs!$B$21,A30&gt;Inputs!$B$21+Configurations!$C$15),0,Configurations!$C$4*Configurations!$C$5*8760*(1-Configurations!$C$6)^C30*Configurations!$C$7*(1-Configurations!$C$8))</f>
        <v>411918.37602863688</v>
      </c>
      <c r="E30" s="55">
        <f>IF(OR(A30&lt;=Inputs!$B$21,A30&gt;Inputs!$B$21+Configurations!$C$15),0,IF(A30&lt;=Inputs!$B$21+Inputs!$B$5,D30*(1-Inputs!$B$10)*Configurations!$C$16/1000000,D30*Inputs!$B$18/1000000))</f>
        <v>29.658123074061855</v>
      </c>
      <c r="F30" s="55">
        <f>IF(OR(A30&lt;=Inputs!$B$21,A30&gt;Inputs!$B$21+Configurations!$C$15),0,Configurations!$C$12+Configurations!$C$13+Configurations!$C$14+Inputs!$B$20*E30)</f>
        <v>9.5308718461109283</v>
      </c>
      <c r="G30" s="55">
        <f t="shared" si="0"/>
        <v>20.127251227950929</v>
      </c>
      <c r="H30" s="63">
        <f>IF(AND(A30&gt;Inputs!$B$21,A30&lt;=Inputs!$B$21+Inputs!$B$12),Capitalization!E$12,0)</f>
        <v>0</v>
      </c>
      <c r="I30" s="55">
        <f t="shared" si="1"/>
        <v>20.127251227950929</v>
      </c>
      <c r="J30" s="64">
        <f ca="1">IF(A30&lt;=Inputs!$B$21,"",IF(AND(A30&lt;=Inputs!$B$22,Capitalization!E$18&gt;0),Inputs!$B$25,Inputs!$B$26))</f>
        <v>0.97499999999999998</v>
      </c>
      <c r="K30" s="55">
        <f ca="1">IF(A30=0,-Capitalization!E$19,IF(A30&lt;=Inputs!$B$21,0,I30*J30-IF(AND(A30=Inputs!$B$22,Capitalization!E$18&gt;0),Inputs!$B$23,0)))</f>
        <v>19.624069947252156</v>
      </c>
      <c r="L30" s="65" t="str">
        <f t="shared" si="2"/>
        <v/>
      </c>
      <c r="M30" s="55">
        <f>IF(A30=0,-Capitalization!E$4,IF(A30&lt;=Inputs!$B$21,0,G30))</f>
        <v>20.127251227950929</v>
      </c>
    </row>
    <row r="31" spans="1:13" ht="15" customHeight="1" x14ac:dyDescent="0.2">
      <c r="A31" s="44">
        <v>26</v>
      </c>
      <c r="B31" s="44" t="str">
        <f>IF(A31=0,"Equity",IF(A31&lt;=Inputs!$B$21,"Construction",IF(A31&lt;=Inputs!$B$21+Inputs!$B$5,"Queue wait",IF(A31&lt;=Inputs!$B$21+Configurations!$C$15,"Grid ops"," "))))</f>
        <v>Grid ops</v>
      </c>
      <c r="C31" s="44">
        <f>IF(A31&lt;=Inputs!$B$21,"",A31-Inputs!$B$21-1)</f>
        <v>23</v>
      </c>
      <c r="D31" s="56">
        <f>IF(OR(A31&lt;=Inputs!$B$21,A31&gt;Inputs!$B$21+Configurations!$C$15),0,Configurations!$C$4*Configurations!$C$5*8760*(1-Configurations!$C$6)^C31*Configurations!$C$7*(1-Configurations!$C$8))</f>
        <v>411094.53927657957</v>
      </c>
      <c r="E31" s="55">
        <f>IF(OR(A31&lt;=Inputs!$B$21,A31&gt;Inputs!$B$21+Configurations!$C$15),0,IF(A31&lt;=Inputs!$B$21+Inputs!$B$5,D31*(1-Inputs!$B$10)*Configurations!$C$16/1000000,D31*Inputs!$B$18/1000000))</f>
        <v>29.598806827913727</v>
      </c>
      <c r="F31" s="55">
        <f>IF(OR(A31&lt;=Inputs!$B$21,A31&gt;Inputs!$B$21+Configurations!$C$15),0,Configurations!$C$12+Configurations!$C$13+Configurations!$C$14+Inputs!$B$20*E31)</f>
        <v>9.5299821024187068</v>
      </c>
      <c r="G31" s="55">
        <f t="shared" si="0"/>
        <v>20.06882472549502</v>
      </c>
      <c r="H31" s="63">
        <f>IF(AND(A31&gt;Inputs!$B$21,A31&lt;=Inputs!$B$21+Inputs!$B$12),Capitalization!E$12,0)</f>
        <v>0</v>
      </c>
      <c r="I31" s="55">
        <f t="shared" si="1"/>
        <v>20.06882472549502</v>
      </c>
      <c r="J31" s="64">
        <f ca="1">IF(A31&lt;=Inputs!$B$21,"",IF(AND(A31&lt;=Inputs!$B$22,Capitalization!E$18&gt;0),Inputs!$B$25,Inputs!$B$26))</f>
        <v>0.97499999999999998</v>
      </c>
      <c r="K31" s="55">
        <f ca="1">IF(A31=0,-Capitalization!E$19,IF(A31&lt;=Inputs!$B$21,0,I31*J31-IF(AND(A31=Inputs!$B$22,Capitalization!E$18&gt;0),Inputs!$B$23,0)))</f>
        <v>19.567104107357643</v>
      </c>
      <c r="L31" s="65" t="str">
        <f t="shared" si="2"/>
        <v/>
      </c>
      <c r="M31" s="55">
        <f>IF(A31=0,-Capitalization!E$4,IF(A31&lt;=Inputs!$B$21,0,G31))</f>
        <v>20.06882472549502</v>
      </c>
    </row>
    <row r="32" spans="1:13" ht="15" customHeight="1" x14ac:dyDescent="0.2">
      <c r="A32" s="44">
        <v>27</v>
      </c>
      <c r="B32" s="44" t="str">
        <f>IF(A32=0,"Equity",IF(A32&lt;=Inputs!$B$21,"Construction",IF(A32&lt;=Inputs!$B$21+Inputs!$B$5,"Queue wait",IF(A32&lt;=Inputs!$B$21+Configurations!$C$15,"Grid ops"," "))))</f>
        <v>Grid ops</v>
      </c>
      <c r="C32" s="44">
        <f>IF(A32&lt;=Inputs!$B$21,"",A32-Inputs!$B$21-1)</f>
        <v>24</v>
      </c>
      <c r="D32" s="56">
        <f>IF(OR(A32&lt;=Inputs!$B$21,A32&gt;Inputs!$B$21+Configurations!$C$15),0,Configurations!$C$4*Configurations!$C$5*8760*(1-Configurations!$C$6)^C32*Configurations!$C$7*(1-Configurations!$C$8))</f>
        <v>410272.35019802646</v>
      </c>
      <c r="E32" s="55">
        <f>IF(OR(A32&lt;=Inputs!$B$21,A32&gt;Inputs!$B$21+Configurations!$C$15),0,IF(A32&lt;=Inputs!$B$21+Inputs!$B$5,D32*(1-Inputs!$B$10)*Configurations!$C$16/1000000,D32*Inputs!$B$18/1000000))</f>
        <v>29.539609214257904</v>
      </c>
      <c r="F32" s="55">
        <f>IF(OR(A32&lt;=Inputs!$B$21,A32&gt;Inputs!$B$21+Configurations!$C$15),0,Configurations!$C$12+Configurations!$C$13+Configurations!$C$14+Inputs!$B$20*E32)</f>
        <v>9.5290941382138694</v>
      </c>
      <c r="G32" s="55">
        <f t="shared" si="0"/>
        <v>20.010515076044037</v>
      </c>
      <c r="H32" s="63">
        <f>IF(AND(A32&gt;Inputs!$B$21,A32&lt;=Inputs!$B$21+Inputs!$B$12),Capitalization!E$12,0)</f>
        <v>0</v>
      </c>
      <c r="I32" s="55">
        <f t="shared" si="1"/>
        <v>20.010515076044037</v>
      </c>
      <c r="J32" s="64">
        <f ca="1">IF(A32&lt;=Inputs!$B$21,"",IF(AND(A32&lt;=Inputs!$B$22,Capitalization!E$18&gt;0),Inputs!$B$25,Inputs!$B$26))</f>
        <v>0.97499999999999998</v>
      </c>
      <c r="K32" s="55">
        <f ca="1">IF(A32=0,-Capitalization!E$19,IF(A32&lt;=Inputs!$B$21,0,I32*J32-IF(AND(A32=Inputs!$B$22,Capitalization!E$18&gt;0),Inputs!$B$23,0)))</f>
        <v>19.510252199142936</v>
      </c>
      <c r="L32" s="65" t="str">
        <f t="shared" si="2"/>
        <v/>
      </c>
      <c r="M32" s="55">
        <f>IF(A32=0,-Capitalization!E$4,IF(A32&lt;=Inputs!$B$21,0,G32))</f>
        <v>20.010515076044037</v>
      </c>
    </row>
    <row r="33" spans="1:13" ht="15" customHeight="1" x14ac:dyDescent="0.2">
      <c r="A33" s="44">
        <v>28</v>
      </c>
      <c r="B33" s="44" t="str">
        <f>IF(A33=0,"Equity",IF(A33&lt;=Inputs!$B$21,"Construction",IF(A33&lt;=Inputs!$B$21+Inputs!$B$5,"Queue wait",IF(A33&lt;=Inputs!$B$21+Configurations!$C$15,"Grid ops"," "))))</f>
        <v xml:space="preserve"> </v>
      </c>
      <c r="C33" s="44">
        <f>IF(A33&lt;=Inputs!$B$21,"",A33-Inputs!$B$21-1)</f>
        <v>25</v>
      </c>
      <c r="D33" s="56">
        <f>IF(OR(A33&lt;=Inputs!$B$21,A33&gt;Inputs!$B$21+Configurations!$C$15),0,Configurations!$C$4*Configurations!$C$5*8760*(1-Configurations!$C$6)^C33*Configurations!$C$7*(1-Configurations!$C$8))</f>
        <v>0</v>
      </c>
      <c r="E33" s="55">
        <f>IF(OR(A33&lt;=Inputs!$B$21,A33&gt;Inputs!$B$21+Configurations!$C$15),0,IF(A33&lt;=Inputs!$B$21+Inputs!$B$5,D33*(1-Inputs!$B$10)*Configurations!$C$16/1000000,D33*Inputs!$B$18/1000000))</f>
        <v>0</v>
      </c>
      <c r="F33" s="55">
        <f>IF(OR(A33&lt;=Inputs!$B$21,A33&gt;Inputs!$B$21+Configurations!$C$15),0,Configurations!$C$12+Configurations!$C$13+Configurations!$C$14+Inputs!$B$20*E33)</f>
        <v>0</v>
      </c>
      <c r="G33" s="55">
        <f t="shared" si="0"/>
        <v>0</v>
      </c>
      <c r="H33" s="63">
        <f>IF(AND(A33&gt;Inputs!$B$21,A33&lt;=Inputs!$B$21+Inputs!$B$12),Capitalization!E$12,0)</f>
        <v>0</v>
      </c>
      <c r="I33" s="55">
        <f t="shared" si="1"/>
        <v>0</v>
      </c>
      <c r="J33" s="64">
        <f ca="1">IF(A33&lt;=Inputs!$B$21,"",IF(AND(A33&lt;=Inputs!$B$22,Capitalization!E$18&gt;0),Inputs!$B$25,Inputs!$B$26))</f>
        <v>0.97499999999999998</v>
      </c>
      <c r="K33" s="55">
        <f ca="1">IF(A33=0,-Capitalization!E$19,IF(A33&lt;=Inputs!$B$21,0,I33*J33-IF(AND(A33=Inputs!$B$22,Capitalization!E$18&gt;0),Inputs!$B$23,0)))</f>
        <v>0</v>
      </c>
      <c r="L33" s="65" t="str">
        <f t="shared" si="2"/>
        <v/>
      </c>
      <c r="M33" s="55">
        <f>IF(A33=0,-Capitalization!E$4,IF(A33&lt;=Inputs!$B$21,0,G33))</f>
        <v>0</v>
      </c>
    </row>
    <row r="34" spans="1:13" ht="15" customHeight="1" x14ac:dyDescent="0.2">
      <c r="A34" s="44">
        <v>29</v>
      </c>
      <c r="B34" s="44" t="str">
        <f>IF(A34=0,"Equity",IF(A34&lt;=Inputs!$B$21,"Construction",IF(A34&lt;=Inputs!$B$21+Inputs!$B$5,"Queue wait",IF(A34&lt;=Inputs!$B$21+Configurations!$C$15,"Grid ops"," "))))</f>
        <v xml:space="preserve"> </v>
      </c>
      <c r="C34" s="44">
        <f>IF(A34&lt;=Inputs!$B$21,"",A34-Inputs!$B$21-1)</f>
        <v>26</v>
      </c>
      <c r="D34" s="56">
        <f>IF(OR(A34&lt;=Inputs!$B$21,A34&gt;Inputs!$B$21+Configurations!$C$15),0,Configurations!$C$4*Configurations!$C$5*8760*(1-Configurations!$C$6)^C34*Configurations!$C$7*(1-Configurations!$C$8))</f>
        <v>0</v>
      </c>
      <c r="E34" s="55">
        <f>IF(OR(A34&lt;=Inputs!$B$21,A34&gt;Inputs!$B$21+Configurations!$C$15),0,IF(A34&lt;=Inputs!$B$21+Inputs!$B$5,D34*(1-Inputs!$B$10)*Configurations!$C$16/1000000,D34*Inputs!$B$18/1000000))</f>
        <v>0</v>
      </c>
      <c r="F34" s="55">
        <f>IF(OR(A34&lt;=Inputs!$B$21,A34&gt;Inputs!$B$21+Configurations!$C$15),0,Configurations!$C$12+Configurations!$C$13+Configurations!$C$14+Inputs!$B$20*E34)</f>
        <v>0</v>
      </c>
      <c r="G34" s="55">
        <f t="shared" si="0"/>
        <v>0</v>
      </c>
      <c r="H34" s="63">
        <f>IF(AND(A34&gt;Inputs!$B$21,A34&lt;=Inputs!$B$21+Inputs!$B$12),Capitalization!E$12,0)</f>
        <v>0</v>
      </c>
      <c r="I34" s="55">
        <f t="shared" si="1"/>
        <v>0</v>
      </c>
      <c r="J34" s="64">
        <f ca="1">IF(A34&lt;=Inputs!$B$21,"",IF(AND(A34&lt;=Inputs!$B$22,Capitalization!E$18&gt;0),Inputs!$B$25,Inputs!$B$26))</f>
        <v>0.97499999999999998</v>
      </c>
      <c r="K34" s="55">
        <f ca="1">IF(A34=0,-Capitalization!E$19,IF(A34&lt;=Inputs!$B$21,0,I34*J34-IF(AND(A34=Inputs!$B$22,Capitalization!E$18&gt;0),Inputs!$B$23,0)))</f>
        <v>0</v>
      </c>
      <c r="L34" s="65" t="str">
        <f t="shared" si="2"/>
        <v/>
      </c>
      <c r="M34" s="55">
        <f>IF(A34=0,-Capitalization!E$4,IF(A34&lt;=Inputs!$B$21,0,G34))</f>
        <v>0</v>
      </c>
    </row>
    <row r="35" spans="1:13" ht="15" customHeight="1" x14ac:dyDescent="0.2">
      <c r="A35" s="44">
        <v>30</v>
      </c>
      <c r="B35" s="44" t="str">
        <f>IF(A35=0,"Equity",IF(A35&lt;=Inputs!$B$21,"Construction",IF(A35&lt;=Inputs!$B$21+Inputs!$B$5,"Queue wait",IF(A35&lt;=Inputs!$B$21+Configurations!$C$15,"Grid ops"," "))))</f>
        <v xml:space="preserve"> </v>
      </c>
      <c r="C35" s="44">
        <f>IF(A35&lt;=Inputs!$B$21,"",A35-Inputs!$B$21-1)</f>
        <v>27</v>
      </c>
      <c r="D35" s="56">
        <f>IF(OR(A35&lt;=Inputs!$B$21,A35&gt;Inputs!$B$21+Configurations!$C$15),0,Configurations!$C$4*Configurations!$C$5*8760*(1-Configurations!$C$6)^C35*Configurations!$C$7*(1-Configurations!$C$8))</f>
        <v>0</v>
      </c>
      <c r="E35" s="55">
        <f>IF(OR(A35&lt;=Inputs!$B$21,A35&gt;Inputs!$B$21+Configurations!$C$15),0,IF(A35&lt;=Inputs!$B$21+Inputs!$B$5,D35*(1-Inputs!$B$10)*Configurations!$C$16/1000000,D35*Inputs!$B$18/1000000))</f>
        <v>0</v>
      </c>
      <c r="F35" s="55">
        <f>IF(OR(A35&lt;=Inputs!$B$21,A35&gt;Inputs!$B$21+Configurations!$C$15),0,Configurations!$C$12+Configurations!$C$13+Configurations!$C$14+Inputs!$B$20*E35)</f>
        <v>0</v>
      </c>
      <c r="G35" s="55">
        <f t="shared" si="0"/>
        <v>0</v>
      </c>
      <c r="H35" s="63">
        <f>IF(AND(A35&gt;Inputs!$B$21,A35&lt;=Inputs!$B$21+Inputs!$B$12),Capitalization!E$12,0)</f>
        <v>0</v>
      </c>
      <c r="I35" s="55">
        <f t="shared" si="1"/>
        <v>0</v>
      </c>
      <c r="J35" s="64">
        <f ca="1">IF(A35&lt;=Inputs!$B$21,"",IF(AND(A35&lt;=Inputs!$B$22,Capitalization!E$18&gt;0),Inputs!$B$25,Inputs!$B$26))</f>
        <v>0.97499999999999998</v>
      </c>
      <c r="K35" s="55">
        <f ca="1">IF(A35=0,-Capitalization!E$19,IF(A35&lt;=Inputs!$B$21,0,I35*J35-IF(AND(A35=Inputs!$B$22,Capitalization!E$18&gt;0),Inputs!$B$23,0)))</f>
        <v>0</v>
      </c>
      <c r="L35" s="65" t="str">
        <f t="shared" si="2"/>
        <v/>
      </c>
      <c r="M35" s="55">
        <f>IF(A35=0,-Capitalization!E$4,IF(A35&lt;=Inputs!$B$21,0,G35))</f>
        <v>0</v>
      </c>
    </row>
    <row r="36" spans="1:13" ht="15" customHeight="1" x14ac:dyDescent="0.2">
      <c r="A36" s="44">
        <v>31</v>
      </c>
      <c r="B36" s="44" t="str">
        <f>IF(A36=0,"Equity",IF(A36&lt;=Inputs!$B$21,"Construction",IF(A36&lt;=Inputs!$B$21+Inputs!$B$5,"Queue wait",IF(A36&lt;=Inputs!$B$21+Configurations!$C$15,"Grid ops"," "))))</f>
        <v xml:space="preserve"> </v>
      </c>
      <c r="C36" s="44">
        <f>IF(A36&lt;=Inputs!$B$21,"",A36-Inputs!$B$21-1)</f>
        <v>28</v>
      </c>
      <c r="D36" s="56">
        <f>IF(OR(A36&lt;=Inputs!$B$21,A36&gt;Inputs!$B$21+Configurations!$C$15),0,Configurations!$C$4*Configurations!$C$5*8760*(1-Configurations!$C$6)^C36*Configurations!$C$7*(1-Configurations!$C$8))</f>
        <v>0</v>
      </c>
      <c r="E36" s="55">
        <f>IF(OR(A36&lt;=Inputs!$B$21,A36&gt;Inputs!$B$21+Configurations!$C$15),0,IF(A36&lt;=Inputs!$B$21+Inputs!$B$5,D36*(1-Inputs!$B$10)*Configurations!$C$16/1000000,D36*Inputs!$B$18/1000000))</f>
        <v>0</v>
      </c>
      <c r="F36" s="55">
        <f>IF(OR(A36&lt;=Inputs!$B$21,A36&gt;Inputs!$B$21+Configurations!$C$15),0,Configurations!$C$12+Configurations!$C$13+Configurations!$C$14+Inputs!$B$20*E36)</f>
        <v>0</v>
      </c>
      <c r="G36" s="55">
        <f t="shared" si="0"/>
        <v>0</v>
      </c>
      <c r="H36" s="63">
        <f>IF(AND(A36&gt;Inputs!$B$21,A36&lt;=Inputs!$B$21+Inputs!$B$12),Capitalization!E$12,0)</f>
        <v>0</v>
      </c>
      <c r="I36" s="55">
        <f t="shared" si="1"/>
        <v>0</v>
      </c>
      <c r="J36" s="64">
        <f ca="1">IF(A36&lt;=Inputs!$B$21,"",IF(AND(A36&lt;=Inputs!$B$22,Capitalization!E$18&gt;0),Inputs!$B$25,Inputs!$B$26))</f>
        <v>0.97499999999999998</v>
      </c>
      <c r="K36" s="55">
        <f ca="1">IF(A36=0,-Capitalization!E$19,IF(A36&lt;=Inputs!$B$21,0,I36*J36-IF(AND(A36=Inputs!$B$22,Capitalization!E$18&gt;0),Inputs!$B$23,0)))</f>
        <v>0</v>
      </c>
      <c r="L36" s="65" t="str">
        <f t="shared" si="2"/>
        <v/>
      </c>
      <c r="M36" s="55">
        <f>IF(A36=0,-Capitalization!E$4,IF(A36&lt;=Inputs!$B$21,0,G36))</f>
        <v>0</v>
      </c>
    </row>
    <row r="37" spans="1:13" ht="15" customHeight="1" x14ac:dyDescent="0.2">
      <c r="A37" s="44">
        <v>32</v>
      </c>
      <c r="B37" s="44" t="str">
        <f>IF(A37=0,"Equity",IF(A37&lt;=Inputs!$B$21,"Construction",IF(A37&lt;=Inputs!$B$21+Inputs!$B$5,"Queue wait",IF(A37&lt;=Inputs!$B$21+Configurations!$C$15,"Grid ops"," "))))</f>
        <v xml:space="preserve"> </v>
      </c>
      <c r="C37" s="44">
        <f>IF(A37&lt;=Inputs!$B$21,"",A37-Inputs!$B$21-1)</f>
        <v>29</v>
      </c>
      <c r="D37" s="56">
        <f>IF(OR(A37&lt;=Inputs!$B$21,A37&gt;Inputs!$B$21+Configurations!$C$15),0,Configurations!$C$4*Configurations!$C$5*8760*(1-Configurations!$C$6)^C37*Configurations!$C$7*(1-Configurations!$C$8))</f>
        <v>0</v>
      </c>
      <c r="E37" s="55">
        <f>IF(OR(A37&lt;=Inputs!$B$21,A37&gt;Inputs!$B$21+Configurations!$C$15),0,IF(A37&lt;=Inputs!$B$21+Inputs!$B$5,D37*(1-Inputs!$B$10)*Configurations!$C$16/1000000,D37*Inputs!$B$18/1000000))</f>
        <v>0</v>
      </c>
      <c r="F37" s="55">
        <f>IF(OR(A37&lt;=Inputs!$B$21,A37&gt;Inputs!$B$21+Configurations!$C$15),0,Configurations!$C$12+Configurations!$C$13+Configurations!$C$14+Inputs!$B$20*E37)</f>
        <v>0</v>
      </c>
      <c r="G37" s="55">
        <f t="shared" si="0"/>
        <v>0</v>
      </c>
      <c r="H37" s="63">
        <f>IF(AND(A37&gt;Inputs!$B$21,A37&lt;=Inputs!$B$21+Inputs!$B$12),Capitalization!E$12,0)</f>
        <v>0</v>
      </c>
      <c r="I37" s="55">
        <f t="shared" si="1"/>
        <v>0</v>
      </c>
      <c r="J37" s="64">
        <f ca="1">IF(A37&lt;=Inputs!$B$21,"",IF(AND(A37&lt;=Inputs!$B$22,Capitalization!E$18&gt;0),Inputs!$B$25,Inputs!$B$26))</f>
        <v>0.97499999999999998</v>
      </c>
      <c r="K37" s="55">
        <f ca="1">IF(A37=0,-Capitalization!E$19,IF(A37&lt;=Inputs!$B$21,0,I37*J37-IF(AND(A37=Inputs!$B$22,Capitalization!E$18&gt;0),Inputs!$B$23,0)))</f>
        <v>0</v>
      </c>
      <c r="L37" s="65" t="str">
        <f t="shared" si="2"/>
        <v/>
      </c>
      <c r="M37" s="55">
        <f>IF(A37=0,-Capitalization!E$4,IF(A37&lt;=Inputs!$B$21,0,G37))</f>
        <v>0</v>
      </c>
    </row>
  </sheetData>
  <phoneticPr fontId="22" type="noConversion"/>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37"/>
  <sheetViews>
    <sheetView zoomScaleNormal="100" workbookViewId="0"/>
  </sheetViews>
  <sheetFormatPr baseColWidth="10" defaultColWidth="8.6640625" defaultRowHeight="15" x14ac:dyDescent="0.2"/>
  <cols>
    <col min="1" max="1" width="6" customWidth="1"/>
    <col min="2" max="2" width="12" customWidth="1"/>
    <col min="4" max="13" width="13" customWidth="1"/>
  </cols>
  <sheetData>
    <row r="1" spans="1:13" ht="15.75" customHeight="1" x14ac:dyDescent="0.2">
      <c r="A1" s="7" t="s">
        <v>400</v>
      </c>
    </row>
    <row r="2" spans="1:13" ht="15" customHeight="1" x14ac:dyDescent="0.2">
      <c r="A2" s="57" t="s">
        <v>382</v>
      </c>
      <c r="B2" s="59">
        <f ca="1">IRR(K5:K37)</f>
        <v>0.11613819636532696</v>
      </c>
      <c r="C2" s="57" t="s">
        <v>383</v>
      </c>
      <c r="D2" s="60">
        <f>IRR(M5:M37)</f>
        <v>3.85638602188354E-2</v>
      </c>
      <c r="E2" s="57" t="s">
        <v>384</v>
      </c>
      <c r="F2" s="61">
        <f ca="1">K5+NPV(Inputs!$B$24,K6:K37)</f>
        <v>57.635834525735405</v>
      </c>
    </row>
    <row r="4" spans="1:13" ht="26.25" customHeight="1" x14ac:dyDescent="0.2">
      <c r="A4" s="62" t="s">
        <v>64</v>
      </c>
      <c r="B4" s="62" t="s">
        <v>385</v>
      </c>
      <c r="C4" s="62" t="s">
        <v>386</v>
      </c>
      <c r="D4" s="62" t="s">
        <v>387</v>
      </c>
      <c r="E4" s="62" t="s">
        <v>388</v>
      </c>
      <c r="F4" s="62" t="s">
        <v>389</v>
      </c>
      <c r="G4" s="62" t="s">
        <v>390</v>
      </c>
      <c r="H4" s="62" t="s">
        <v>391</v>
      </c>
      <c r="I4" s="62" t="s">
        <v>392</v>
      </c>
      <c r="J4" s="62" t="s">
        <v>393</v>
      </c>
      <c r="K4" s="62" t="s">
        <v>394</v>
      </c>
      <c r="L4" s="62" t="s">
        <v>395</v>
      </c>
      <c r="M4" s="62" t="s">
        <v>396</v>
      </c>
    </row>
    <row r="5" spans="1:13" ht="15" customHeight="1" x14ac:dyDescent="0.2">
      <c r="A5" s="44">
        <v>0</v>
      </c>
      <c r="B5" s="44" t="str">
        <f>IF(A5=0,"Equity",IF(A5&lt;=Inputs!$B$21,"Construction",IF(A5&lt;=Inputs!$B$21+Inputs!$B$5,"Queue wait",IF(A5&lt;=Inputs!$B$21+Configurations!$D$15,"Grid ops"," "))))</f>
        <v>Equity</v>
      </c>
      <c r="C5" s="44" t="str">
        <f>IF(A5&lt;=Inputs!$B$21,"",A5-Inputs!$B$21-1)</f>
        <v/>
      </c>
      <c r="D5" s="56">
        <f>IF(OR(A5&lt;=Inputs!$B$21,A5&gt;Inputs!$B$21+Configurations!$D$15),0,Configurations!$D$4*Configurations!$D$5*8760*(1-Configurations!$D$6)^C5*Configurations!$D$7*(1-Configurations!$D$8))</f>
        <v>0</v>
      </c>
      <c r="E5" s="55">
        <f>IF(OR(A5&lt;=Inputs!$B$21,A5&gt;Inputs!$B$21+Configurations!$D$15),0,IF(A5&lt;=Inputs!$B$21+Inputs!$B$5,0,D5*Inputs!$B$18/1000000))</f>
        <v>0</v>
      </c>
      <c r="F5" s="55">
        <f>IF(OR(A5&lt;=Inputs!$B$21,A5&gt;Inputs!$B$21+Configurations!$D$15),0,IF(A5&lt;=Inputs!$B$21+Inputs!$B$5,Configurations!$D$13,Configurations!$D$12+Configurations!$D$13+Inputs!$B$20*E5))</f>
        <v>0</v>
      </c>
      <c r="G5" s="55">
        <f t="shared" ref="G5:G37" si="0">E5-F5</f>
        <v>0</v>
      </c>
      <c r="H5" s="63">
        <f>IF(AND(A5&gt;Inputs!$B$21,A5&lt;=Inputs!$B$21+Inputs!$B$12),Capitalization!F$12,0)</f>
        <v>0</v>
      </c>
      <c r="I5" s="55">
        <f t="shared" ref="I5:I37" si="1">G5-H5</f>
        <v>0</v>
      </c>
      <c r="J5" s="64" t="str">
        <f>IF(A5&lt;=Inputs!$B$21,"",IF(AND(A5&lt;=Inputs!$B$22,Capitalization!F$18&gt;0),Inputs!$B$25,Inputs!$B$26))</f>
        <v/>
      </c>
      <c r="K5" s="55">
        <f ca="1">IF(A5=0,-Capitalization!F$19,IF(A5&lt;=Inputs!$B$21,0,I5*J5-IF(AND(A5=Inputs!$B$22,Capitalization!F$18&gt;0),Inputs!$B$23,0)))</f>
        <v>-38.574085570322723</v>
      </c>
      <c r="L5" s="65" t="str">
        <f t="shared" ref="L5:L37" si="2">IF(H5&gt;0,G5/H5,"")</f>
        <v/>
      </c>
      <c r="M5" s="55">
        <f>IF(A5=0,-Capitalization!F$4,IF(A5&lt;=Inputs!$B$21,0,G5))</f>
        <v>-568.25</v>
      </c>
    </row>
    <row r="6" spans="1:13" ht="15" customHeight="1" x14ac:dyDescent="0.2">
      <c r="A6" s="44">
        <v>1</v>
      </c>
      <c r="B6" s="44" t="str">
        <f>IF(A6=0,"Equity",IF(A6&lt;=Inputs!$B$21,"Construction",IF(A6&lt;=Inputs!$B$21+Inputs!$B$5,"Queue wait",IF(A6&lt;=Inputs!$B$21+Configurations!$D$15,"Grid ops"," "))))</f>
        <v>Construction</v>
      </c>
      <c r="C6" s="44" t="str">
        <f>IF(A6&lt;=Inputs!$B$21,"",A6-Inputs!$B$21-1)</f>
        <v/>
      </c>
      <c r="D6" s="56">
        <f>IF(OR(A6&lt;=Inputs!$B$21,A6&gt;Inputs!$B$21+Configurations!$D$15),0,Configurations!$D$4*Configurations!$D$5*8760*(1-Configurations!$D$6)^C6*Configurations!$D$7*(1-Configurations!$D$8))</f>
        <v>0</v>
      </c>
      <c r="E6" s="55">
        <f>IF(OR(A6&lt;=Inputs!$B$21,A6&gt;Inputs!$B$21+Configurations!$D$15),0,IF(A6&lt;=Inputs!$B$21+Inputs!$B$5,0,D6*Inputs!$B$18/1000000))</f>
        <v>0</v>
      </c>
      <c r="F6" s="55">
        <f>IF(OR(A6&lt;=Inputs!$B$21,A6&gt;Inputs!$B$21+Configurations!$D$15),0,IF(A6&lt;=Inputs!$B$21+Inputs!$B$5,Configurations!$D$13,Configurations!$D$12+Configurations!$D$13+Inputs!$B$20*E6))</f>
        <v>0</v>
      </c>
      <c r="G6" s="55">
        <f t="shared" si="0"/>
        <v>0</v>
      </c>
      <c r="H6" s="63">
        <f>IF(AND(A6&gt;Inputs!$B$21,A6&lt;=Inputs!$B$21+Inputs!$B$12),Capitalization!F$12,0)</f>
        <v>0</v>
      </c>
      <c r="I6" s="55">
        <f t="shared" si="1"/>
        <v>0</v>
      </c>
      <c r="J6" s="64" t="str">
        <f>IF(A6&lt;=Inputs!$B$21,"",IF(AND(A6&lt;=Inputs!$B$22,Capitalization!F$18&gt;0),Inputs!$B$25,Inputs!$B$26))</f>
        <v/>
      </c>
      <c r="K6" s="55">
        <f>IF(A6=0,-Capitalization!F$19,IF(A6&lt;=Inputs!$B$21,0,I6*J6-IF(AND(A6=Inputs!$B$22,Capitalization!F$18&gt;0),Inputs!$B$23,0)))</f>
        <v>0</v>
      </c>
      <c r="L6" s="65" t="str">
        <f t="shared" si="2"/>
        <v/>
      </c>
      <c r="M6" s="55">
        <f>IF(A6=0,-Capitalization!F$4,IF(A6&lt;=Inputs!$B$21,0,G6))</f>
        <v>0</v>
      </c>
    </row>
    <row r="7" spans="1:13" ht="15" customHeight="1" x14ac:dyDescent="0.2">
      <c r="A7" s="44">
        <v>2</v>
      </c>
      <c r="B7" s="44" t="str">
        <f>IF(A7=0,"Equity",IF(A7&lt;=Inputs!$B$21,"Construction",IF(A7&lt;=Inputs!$B$21+Inputs!$B$5,"Queue wait",IF(A7&lt;=Inputs!$B$21+Configurations!$D$15,"Grid ops"," "))))</f>
        <v>Construction</v>
      </c>
      <c r="C7" s="44" t="str">
        <f>IF(A7&lt;=Inputs!$B$21,"",A7-Inputs!$B$21-1)</f>
        <v/>
      </c>
      <c r="D7" s="56">
        <f>IF(OR(A7&lt;=Inputs!$B$21,A7&gt;Inputs!$B$21+Configurations!$D$15),0,Configurations!$D$4*Configurations!$D$5*8760*(1-Configurations!$D$6)^C7*Configurations!$D$7*(1-Configurations!$D$8))</f>
        <v>0</v>
      </c>
      <c r="E7" s="55">
        <f>IF(OR(A7&lt;=Inputs!$B$21,A7&gt;Inputs!$B$21+Configurations!$D$15),0,IF(A7&lt;=Inputs!$B$21+Inputs!$B$5,0,D7*Inputs!$B$18/1000000))</f>
        <v>0</v>
      </c>
      <c r="F7" s="55">
        <f>IF(OR(A7&lt;=Inputs!$B$21,A7&gt;Inputs!$B$21+Configurations!$D$15),0,IF(A7&lt;=Inputs!$B$21+Inputs!$B$5,Configurations!$D$13,Configurations!$D$12+Configurations!$D$13+Inputs!$B$20*E7))</f>
        <v>0</v>
      </c>
      <c r="G7" s="55">
        <f t="shared" si="0"/>
        <v>0</v>
      </c>
      <c r="H7" s="63">
        <f>IF(AND(A7&gt;Inputs!$B$21,A7&lt;=Inputs!$B$21+Inputs!$B$12),Capitalization!F$12,0)</f>
        <v>0</v>
      </c>
      <c r="I7" s="55">
        <f t="shared" si="1"/>
        <v>0</v>
      </c>
      <c r="J7" s="64" t="str">
        <f>IF(A7&lt;=Inputs!$B$21,"",IF(AND(A7&lt;=Inputs!$B$22,Capitalization!F$18&gt;0),Inputs!$B$25,Inputs!$B$26))</f>
        <v/>
      </c>
      <c r="K7" s="55">
        <f>IF(A7=0,-Capitalization!F$19,IF(A7&lt;=Inputs!$B$21,0,I7*J7-IF(AND(A7=Inputs!$B$22,Capitalization!F$18&gt;0),Inputs!$B$23,0)))</f>
        <v>0</v>
      </c>
      <c r="L7" s="65" t="str">
        <f t="shared" si="2"/>
        <v/>
      </c>
      <c r="M7" s="55">
        <f>IF(A7=0,-Capitalization!F$4,IF(A7&lt;=Inputs!$B$21,0,G7))</f>
        <v>0</v>
      </c>
    </row>
    <row r="8" spans="1:13" ht="15" customHeight="1" x14ac:dyDescent="0.2">
      <c r="A8" s="44">
        <v>3</v>
      </c>
      <c r="B8" s="44" t="str">
        <f>IF(A8=0,"Equity",IF(A8&lt;=Inputs!$B$21,"Construction",IF(A8&lt;=Inputs!$B$21+Inputs!$B$5,"Queue wait",IF(A8&lt;=Inputs!$B$21+Configurations!$D$15,"Grid ops"," "))))</f>
        <v>Queue wait</v>
      </c>
      <c r="C8" s="44">
        <f>IF(A8&lt;=Inputs!$B$21,"",A8-Inputs!$B$21-1)</f>
        <v>0</v>
      </c>
      <c r="D8" s="56">
        <f>IF(OR(A8&lt;=Inputs!$B$21,A8&gt;Inputs!$B$21+Configurations!$D$15),0,Configurations!$D$4*Configurations!$D$5*8760*(1-Configurations!$D$6)^C8*Configurations!$D$7*(1-Configurations!$D$8))</f>
        <v>730255.5</v>
      </c>
      <c r="E8" s="55">
        <f>IF(OR(A8&lt;=Inputs!$B$21,A8&gt;Inputs!$B$21+Configurations!$D$15),0,IF(A8&lt;=Inputs!$B$21+Inputs!$B$5,0,D8*Inputs!$B$18/1000000))</f>
        <v>0</v>
      </c>
      <c r="F8" s="55">
        <f>IF(OR(A8&lt;=Inputs!$B$21,A8&gt;Inputs!$B$21+Configurations!$D$15),0,IF(A8&lt;=Inputs!$B$21+Inputs!$B$5,Configurations!$D$13,Configurations!$D$12+Configurations!$D$13+Inputs!$B$20*E8))</f>
        <v>2.573</v>
      </c>
      <c r="G8" s="55">
        <f t="shared" si="0"/>
        <v>-2.573</v>
      </c>
      <c r="H8" s="63">
        <f>IF(AND(A8&gt;Inputs!$B$21,A8&lt;=Inputs!$B$21+Inputs!$B$12),Capitalization!F$12,0)</f>
        <v>26.152928610792944</v>
      </c>
      <c r="I8" s="55">
        <f t="shared" si="1"/>
        <v>-28.725928610792945</v>
      </c>
      <c r="J8" s="64">
        <f ca="1">IF(A8&lt;=Inputs!$B$21,"",IF(AND(A8&lt;=Inputs!$B$22,Capitalization!F$18&gt;0),Inputs!$B$25,Inputs!$B$26))</f>
        <v>0.7</v>
      </c>
      <c r="K8" s="55">
        <f ca="1">IF(A8=0,-Capitalization!F$19,IF(A8&lt;=Inputs!$B$21,0,I8*J8-IF(AND(A8=Inputs!$B$22,Capitalization!F$18&gt;0),Inputs!$B$23,0)))</f>
        <v>-20.108150027555059</v>
      </c>
      <c r="L8" s="65">
        <f t="shared" si="2"/>
        <v>-9.8382863284311464E-2</v>
      </c>
      <c r="M8" s="55">
        <f>IF(A8=0,-Capitalization!F$4,IF(A8&lt;=Inputs!$B$21,0,G8))</f>
        <v>-2.573</v>
      </c>
    </row>
    <row r="9" spans="1:13" ht="15" customHeight="1" x14ac:dyDescent="0.2">
      <c r="A9" s="44">
        <v>4</v>
      </c>
      <c r="B9" s="44" t="str">
        <f>IF(A9=0,"Equity",IF(A9&lt;=Inputs!$B$21,"Construction",IF(A9&lt;=Inputs!$B$21+Inputs!$B$5,"Queue wait",IF(A9&lt;=Inputs!$B$21+Configurations!$D$15,"Grid ops"," "))))</f>
        <v>Queue wait</v>
      </c>
      <c r="C9" s="44">
        <f>IF(A9&lt;=Inputs!$B$21,"",A9-Inputs!$B$21-1)</f>
        <v>1</v>
      </c>
      <c r="D9" s="56">
        <f>IF(OR(A9&lt;=Inputs!$B$21,A9&gt;Inputs!$B$21+Configurations!$D$15),0,Configurations!$D$4*Configurations!$D$5*8760*(1-Configurations!$D$6)^C9*Configurations!$D$7*(1-Configurations!$D$8))</f>
        <v>730255.5</v>
      </c>
      <c r="E9" s="55">
        <f>IF(OR(A9&lt;=Inputs!$B$21,A9&gt;Inputs!$B$21+Configurations!$D$15),0,IF(A9&lt;=Inputs!$B$21+Inputs!$B$5,0,D9*Inputs!$B$18/1000000))</f>
        <v>0</v>
      </c>
      <c r="F9" s="55">
        <f>IF(OR(A9&lt;=Inputs!$B$21,A9&gt;Inputs!$B$21+Configurations!$D$15),0,IF(A9&lt;=Inputs!$B$21+Inputs!$B$5,Configurations!$D$13,Configurations!$D$12+Configurations!$D$13+Inputs!$B$20*E9))</f>
        <v>2.573</v>
      </c>
      <c r="G9" s="55">
        <f t="shared" si="0"/>
        <v>-2.573</v>
      </c>
      <c r="H9" s="63">
        <f>IF(AND(A9&gt;Inputs!$B$21,A9&lt;=Inputs!$B$21+Inputs!$B$12),Capitalization!F$12,0)</f>
        <v>26.152928610792944</v>
      </c>
      <c r="I9" s="55">
        <f t="shared" si="1"/>
        <v>-28.725928610792945</v>
      </c>
      <c r="J9" s="64">
        <f ca="1">IF(A9&lt;=Inputs!$B$21,"",IF(AND(A9&lt;=Inputs!$B$22,Capitalization!F$18&gt;0),Inputs!$B$25,Inputs!$B$26))</f>
        <v>0.7</v>
      </c>
      <c r="K9" s="55">
        <f ca="1">IF(A9=0,-Capitalization!F$19,IF(A9&lt;=Inputs!$B$21,0,I9*J9-IF(AND(A9=Inputs!$B$22,Capitalization!F$18&gt;0),Inputs!$B$23,0)))</f>
        <v>-20.108150027555059</v>
      </c>
      <c r="L9" s="65">
        <f t="shared" si="2"/>
        <v>-9.8382863284311464E-2</v>
      </c>
      <c r="M9" s="55">
        <f>IF(A9=0,-Capitalization!F$4,IF(A9&lt;=Inputs!$B$21,0,G9))</f>
        <v>-2.573</v>
      </c>
    </row>
    <row r="10" spans="1:13" ht="15" customHeight="1" x14ac:dyDescent="0.2">
      <c r="A10" s="44">
        <v>5</v>
      </c>
      <c r="B10" s="44" t="str">
        <f>IF(A10=0,"Equity",IF(A10&lt;=Inputs!$B$21,"Construction",IF(A10&lt;=Inputs!$B$21+Inputs!$B$5,"Queue wait",IF(A10&lt;=Inputs!$B$21+Configurations!$D$15,"Grid ops"," "))))</f>
        <v>Queue wait</v>
      </c>
      <c r="C10" s="44">
        <f>IF(A10&lt;=Inputs!$B$21,"",A10-Inputs!$B$21-1)</f>
        <v>2</v>
      </c>
      <c r="D10" s="56">
        <f>IF(OR(A10&lt;=Inputs!$B$21,A10&gt;Inputs!$B$21+Configurations!$D$15),0,Configurations!$D$4*Configurations!$D$5*8760*(1-Configurations!$D$6)^C10*Configurations!$D$7*(1-Configurations!$D$8))</f>
        <v>730255.5</v>
      </c>
      <c r="E10" s="55">
        <f>IF(OR(A10&lt;=Inputs!$B$21,A10&gt;Inputs!$B$21+Configurations!$D$15),0,IF(A10&lt;=Inputs!$B$21+Inputs!$B$5,0,D10*Inputs!$B$18/1000000))</f>
        <v>0</v>
      </c>
      <c r="F10" s="55">
        <f>IF(OR(A10&lt;=Inputs!$B$21,A10&gt;Inputs!$B$21+Configurations!$D$15),0,IF(A10&lt;=Inputs!$B$21+Inputs!$B$5,Configurations!$D$13,Configurations!$D$12+Configurations!$D$13+Inputs!$B$20*E10))</f>
        <v>2.573</v>
      </c>
      <c r="G10" s="55">
        <f t="shared" si="0"/>
        <v>-2.573</v>
      </c>
      <c r="H10" s="63">
        <f>IF(AND(A10&gt;Inputs!$B$21,A10&lt;=Inputs!$B$21+Inputs!$B$12),Capitalization!F$12,0)</f>
        <v>26.152928610792944</v>
      </c>
      <c r="I10" s="55">
        <f t="shared" si="1"/>
        <v>-28.725928610792945</v>
      </c>
      <c r="J10" s="64">
        <f ca="1">IF(A10&lt;=Inputs!$B$21,"",IF(AND(A10&lt;=Inputs!$B$22,Capitalization!F$18&gt;0),Inputs!$B$25,Inputs!$B$26))</f>
        <v>0.7</v>
      </c>
      <c r="K10" s="55">
        <f ca="1">IF(A10=0,-Capitalization!F$19,IF(A10&lt;=Inputs!$B$21,0,I10*J10-IF(AND(A10=Inputs!$B$22,Capitalization!F$18&gt;0),Inputs!$B$23,0)))</f>
        <v>-20.108150027555059</v>
      </c>
      <c r="L10" s="65">
        <f t="shared" si="2"/>
        <v>-9.8382863284311464E-2</v>
      </c>
      <c r="M10" s="55">
        <f>IF(A10=0,-Capitalization!F$4,IF(A10&lt;=Inputs!$B$21,0,G10))</f>
        <v>-2.573</v>
      </c>
    </row>
    <row r="11" spans="1:13" ht="15" customHeight="1" x14ac:dyDescent="0.2">
      <c r="A11" s="44">
        <v>6</v>
      </c>
      <c r="B11" s="44" t="str">
        <f>IF(A11=0,"Equity",IF(A11&lt;=Inputs!$B$21,"Construction",IF(A11&lt;=Inputs!$B$21+Inputs!$B$5,"Queue wait",IF(A11&lt;=Inputs!$B$21+Configurations!$D$15,"Grid ops"," "))))</f>
        <v>Queue wait</v>
      </c>
      <c r="C11" s="44">
        <f>IF(A11&lt;=Inputs!$B$21,"",A11-Inputs!$B$21-1)</f>
        <v>3</v>
      </c>
      <c r="D11" s="56">
        <f>IF(OR(A11&lt;=Inputs!$B$21,A11&gt;Inputs!$B$21+Configurations!$D$15),0,Configurations!$D$4*Configurations!$D$5*8760*(1-Configurations!$D$6)^C11*Configurations!$D$7*(1-Configurations!$D$8))</f>
        <v>730255.5</v>
      </c>
      <c r="E11" s="55">
        <f>IF(OR(A11&lt;=Inputs!$B$21,A11&gt;Inputs!$B$21+Configurations!$D$15),0,IF(A11&lt;=Inputs!$B$21+Inputs!$B$5,0,D11*Inputs!$B$18/1000000))</f>
        <v>0</v>
      </c>
      <c r="F11" s="55">
        <f>IF(OR(A11&lt;=Inputs!$B$21,A11&gt;Inputs!$B$21+Configurations!$D$15),0,IF(A11&lt;=Inputs!$B$21+Inputs!$B$5,Configurations!$D$13,Configurations!$D$12+Configurations!$D$13+Inputs!$B$20*E11))</f>
        <v>2.573</v>
      </c>
      <c r="G11" s="55">
        <f t="shared" si="0"/>
        <v>-2.573</v>
      </c>
      <c r="H11" s="63">
        <f>IF(AND(A11&gt;Inputs!$B$21,A11&lt;=Inputs!$B$21+Inputs!$B$12),Capitalization!F$12,0)</f>
        <v>26.152928610792944</v>
      </c>
      <c r="I11" s="55">
        <f t="shared" si="1"/>
        <v>-28.725928610792945</v>
      </c>
      <c r="J11" s="64">
        <f ca="1">IF(A11&lt;=Inputs!$B$21,"",IF(AND(A11&lt;=Inputs!$B$22,Capitalization!F$18&gt;0),Inputs!$B$25,Inputs!$B$26))</f>
        <v>0.7</v>
      </c>
      <c r="K11" s="55">
        <f ca="1">IF(A11=0,-Capitalization!F$19,IF(A11&lt;=Inputs!$B$21,0,I11*J11-IF(AND(A11=Inputs!$B$22,Capitalization!F$18&gt;0),Inputs!$B$23,0)))</f>
        <v>-21.108150027555059</v>
      </c>
      <c r="L11" s="65">
        <f t="shared" si="2"/>
        <v>-9.8382863284311464E-2</v>
      </c>
      <c r="M11" s="55">
        <f>IF(A11=0,-Capitalization!F$4,IF(A11&lt;=Inputs!$B$21,0,G11))</f>
        <v>-2.573</v>
      </c>
    </row>
    <row r="12" spans="1:13" ht="15" customHeight="1" x14ac:dyDescent="0.2">
      <c r="A12" s="44">
        <v>7</v>
      </c>
      <c r="B12" s="44" t="str">
        <f>IF(A12=0,"Equity",IF(A12&lt;=Inputs!$B$21,"Construction",IF(A12&lt;=Inputs!$B$21+Inputs!$B$5,"Queue wait",IF(A12&lt;=Inputs!$B$21+Configurations!$D$15,"Grid ops"," "))))</f>
        <v>Grid ops</v>
      </c>
      <c r="C12" s="44">
        <f>IF(A12&lt;=Inputs!$B$21,"",A12-Inputs!$B$21-1)</f>
        <v>4</v>
      </c>
      <c r="D12" s="56">
        <f>IF(OR(A12&lt;=Inputs!$B$21,A12&gt;Inputs!$B$21+Configurations!$D$15),0,Configurations!$D$4*Configurations!$D$5*8760*(1-Configurations!$D$6)^C12*Configurations!$D$7*(1-Configurations!$D$8))</f>
        <v>730255.5</v>
      </c>
      <c r="E12" s="55">
        <f>IF(OR(A12&lt;=Inputs!$B$21,A12&gt;Inputs!$B$21+Configurations!$D$15),0,IF(A12&lt;=Inputs!$B$21+Inputs!$B$5,0,D12*Inputs!$B$18/1000000))</f>
        <v>52.578395999999998</v>
      </c>
      <c r="F12" s="55">
        <f>IF(OR(A12&lt;=Inputs!$B$21,A12&gt;Inputs!$B$21+Configurations!$D$15),0,IF(A12&lt;=Inputs!$B$21+Inputs!$B$5,Configurations!$D$13,Configurations!$D$12+Configurations!$D$13+Inputs!$B$20*E12))</f>
        <v>7.9866759400000005</v>
      </c>
      <c r="G12" s="55">
        <f t="shared" si="0"/>
        <v>44.59172006</v>
      </c>
      <c r="H12" s="63">
        <f>IF(AND(A12&gt;Inputs!$B$21,A12&lt;=Inputs!$B$21+Inputs!$B$12),Capitalization!F$12,0)</f>
        <v>26.152928610792944</v>
      </c>
      <c r="I12" s="55">
        <f t="shared" si="1"/>
        <v>18.438791449207056</v>
      </c>
      <c r="J12" s="64">
        <f ca="1">IF(A12&lt;=Inputs!$B$21,"",IF(AND(A12&lt;=Inputs!$B$22,Capitalization!F$18&gt;0),Inputs!$B$25,Inputs!$B$26))</f>
        <v>0.97499999999999998</v>
      </c>
      <c r="K12" s="55">
        <f ca="1">IF(A12=0,-Capitalization!F$19,IF(A12&lt;=Inputs!$B$21,0,I12*J12-IF(AND(A12=Inputs!$B$22,Capitalization!F$18&gt;0),Inputs!$B$23,0)))</f>
        <v>17.977821662976879</v>
      </c>
      <c r="L12" s="65">
        <f t="shared" si="2"/>
        <v>1.7050373487272712</v>
      </c>
      <c r="M12" s="55">
        <f>IF(A12=0,-Capitalization!F$4,IF(A12&lt;=Inputs!$B$21,0,G12))</f>
        <v>44.59172006</v>
      </c>
    </row>
    <row r="13" spans="1:13" ht="15" customHeight="1" x14ac:dyDescent="0.2">
      <c r="A13" s="44">
        <v>8</v>
      </c>
      <c r="B13" s="44" t="str">
        <f>IF(A13=0,"Equity",IF(A13&lt;=Inputs!$B$21,"Construction",IF(A13&lt;=Inputs!$B$21+Inputs!$B$5,"Queue wait",IF(A13&lt;=Inputs!$B$21+Configurations!$D$15,"Grid ops"," "))))</f>
        <v>Grid ops</v>
      </c>
      <c r="C13" s="44">
        <f>IF(A13&lt;=Inputs!$B$21,"",A13-Inputs!$B$21-1)</f>
        <v>5</v>
      </c>
      <c r="D13" s="56">
        <f>IF(OR(A13&lt;=Inputs!$B$21,A13&gt;Inputs!$B$21+Configurations!$D$15),0,Configurations!$D$4*Configurations!$D$5*8760*(1-Configurations!$D$6)^C13*Configurations!$D$7*(1-Configurations!$D$8))</f>
        <v>730255.5</v>
      </c>
      <c r="E13" s="55">
        <f>IF(OR(A13&lt;=Inputs!$B$21,A13&gt;Inputs!$B$21+Configurations!$D$15),0,IF(A13&lt;=Inputs!$B$21+Inputs!$B$5,0,D13*Inputs!$B$18/1000000))</f>
        <v>52.578395999999998</v>
      </c>
      <c r="F13" s="55">
        <f>IF(OR(A13&lt;=Inputs!$B$21,A13&gt;Inputs!$B$21+Configurations!$D$15),0,IF(A13&lt;=Inputs!$B$21+Inputs!$B$5,Configurations!$D$13,Configurations!$D$12+Configurations!$D$13+Inputs!$B$20*E13))</f>
        <v>7.9866759400000005</v>
      </c>
      <c r="G13" s="55">
        <f t="shared" si="0"/>
        <v>44.59172006</v>
      </c>
      <c r="H13" s="63">
        <f>IF(AND(A13&gt;Inputs!$B$21,A13&lt;=Inputs!$B$21+Inputs!$B$12),Capitalization!F$12,0)</f>
        <v>26.152928610792944</v>
      </c>
      <c r="I13" s="55">
        <f t="shared" si="1"/>
        <v>18.438791449207056</v>
      </c>
      <c r="J13" s="64">
        <f ca="1">IF(A13&lt;=Inputs!$B$21,"",IF(AND(A13&lt;=Inputs!$B$22,Capitalization!F$18&gt;0),Inputs!$B$25,Inputs!$B$26))</f>
        <v>0.97499999999999998</v>
      </c>
      <c r="K13" s="55">
        <f ca="1">IF(A13=0,-Capitalization!F$19,IF(A13&lt;=Inputs!$B$21,0,I13*J13-IF(AND(A13=Inputs!$B$22,Capitalization!F$18&gt;0),Inputs!$B$23,0)))</f>
        <v>17.977821662976879</v>
      </c>
      <c r="L13" s="65">
        <f t="shared" si="2"/>
        <v>1.7050373487272712</v>
      </c>
      <c r="M13" s="55">
        <f>IF(A13=0,-Capitalization!F$4,IF(A13&lt;=Inputs!$B$21,0,G13))</f>
        <v>44.59172006</v>
      </c>
    </row>
    <row r="14" spans="1:13" ht="15" customHeight="1" x14ac:dyDescent="0.2">
      <c r="A14" s="44">
        <v>9</v>
      </c>
      <c r="B14" s="44" t="str">
        <f>IF(A14=0,"Equity",IF(A14&lt;=Inputs!$B$21,"Construction",IF(A14&lt;=Inputs!$B$21+Inputs!$B$5,"Queue wait",IF(A14&lt;=Inputs!$B$21+Configurations!$D$15,"Grid ops"," "))))</f>
        <v>Grid ops</v>
      </c>
      <c r="C14" s="44">
        <f>IF(A14&lt;=Inputs!$B$21,"",A14-Inputs!$B$21-1)</f>
        <v>6</v>
      </c>
      <c r="D14" s="56">
        <f>IF(OR(A14&lt;=Inputs!$B$21,A14&gt;Inputs!$B$21+Configurations!$D$15),0,Configurations!$D$4*Configurations!$D$5*8760*(1-Configurations!$D$6)^C14*Configurations!$D$7*(1-Configurations!$D$8))</f>
        <v>730255.5</v>
      </c>
      <c r="E14" s="55">
        <f>IF(OR(A14&lt;=Inputs!$B$21,A14&gt;Inputs!$B$21+Configurations!$D$15),0,IF(A14&lt;=Inputs!$B$21+Inputs!$B$5,0,D14*Inputs!$B$18/1000000))</f>
        <v>52.578395999999998</v>
      </c>
      <c r="F14" s="55">
        <f>IF(OR(A14&lt;=Inputs!$B$21,A14&gt;Inputs!$B$21+Configurations!$D$15),0,IF(A14&lt;=Inputs!$B$21+Inputs!$B$5,Configurations!$D$13,Configurations!$D$12+Configurations!$D$13+Inputs!$B$20*E14))</f>
        <v>7.9866759400000005</v>
      </c>
      <c r="G14" s="55">
        <f t="shared" si="0"/>
        <v>44.59172006</v>
      </c>
      <c r="H14" s="63">
        <f>IF(AND(A14&gt;Inputs!$B$21,A14&lt;=Inputs!$B$21+Inputs!$B$12),Capitalization!F$12,0)</f>
        <v>26.152928610792944</v>
      </c>
      <c r="I14" s="55">
        <f t="shared" si="1"/>
        <v>18.438791449207056</v>
      </c>
      <c r="J14" s="64">
        <f ca="1">IF(A14&lt;=Inputs!$B$21,"",IF(AND(A14&lt;=Inputs!$B$22,Capitalization!F$18&gt;0),Inputs!$B$25,Inputs!$B$26))</f>
        <v>0.97499999999999998</v>
      </c>
      <c r="K14" s="55">
        <f ca="1">IF(A14=0,-Capitalization!F$19,IF(A14&lt;=Inputs!$B$21,0,I14*J14-IF(AND(A14=Inputs!$B$22,Capitalization!F$18&gt;0),Inputs!$B$23,0)))</f>
        <v>17.977821662976879</v>
      </c>
      <c r="L14" s="65">
        <f t="shared" si="2"/>
        <v>1.7050373487272712</v>
      </c>
      <c r="M14" s="55">
        <f>IF(A14=0,-Capitalization!F$4,IF(A14&lt;=Inputs!$B$21,0,G14))</f>
        <v>44.59172006</v>
      </c>
    </row>
    <row r="15" spans="1:13" ht="15" customHeight="1" x14ac:dyDescent="0.2">
      <c r="A15" s="44">
        <v>10</v>
      </c>
      <c r="B15" s="44" t="str">
        <f>IF(A15=0,"Equity",IF(A15&lt;=Inputs!$B$21,"Construction",IF(A15&lt;=Inputs!$B$21+Inputs!$B$5,"Queue wait",IF(A15&lt;=Inputs!$B$21+Configurations!$D$15,"Grid ops"," "))))</f>
        <v>Grid ops</v>
      </c>
      <c r="C15" s="44">
        <f>IF(A15&lt;=Inputs!$B$21,"",A15-Inputs!$B$21-1)</f>
        <v>7</v>
      </c>
      <c r="D15" s="56">
        <f>IF(OR(A15&lt;=Inputs!$B$21,A15&gt;Inputs!$B$21+Configurations!$D$15),0,Configurations!$D$4*Configurations!$D$5*8760*(1-Configurations!$D$6)^C15*Configurations!$D$7*(1-Configurations!$D$8))</f>
        <v>730255.5</v>
      </c>
      <c r="E15" s="55">
        <f>IF(OR(A15&lt;=Inputs!$B$21,A15&gt;Inputs!$B$21+Configurations!$D$15),0,IF(A15&lt;=Inputs!$B$21+Inputs!$B$5,0,D15*Inputs!$B$18/1000000))</f>
        <v>52.578395999999998</v>
      </c>
      <c r="F15" s="55">
        <f>IF(OR(A15&lt;=Inputs!$B$21,A15&gt;Inputs!$B$21+Configurations!$D$15),0,IF(A15&lt;=Inputs!$B$21+Inputs!$B$5,Configurations!$D$13,Configurations!$D$12+Configurations!$D$13+Inputs!$B$20*E15))</f>
        <v>7.9866759400000005</v>
      </c>
      <c r="G15" s="55">
        <f t="shared" si="0"/>
        <v>44.59172006</v>
      </c>
      <c r="H15" s="63">
        <f>IF(AND(A15&gt;Inputs!$B$21,A15&lt;=Inputs!$B$21+Inputs!$B$12),Capitalization!F$12,0)</f>
        <v>26.152928610792944</v>
      </c>
      <c r="I15" s="55">
        <f t="shared" si="1"/>
        <v>18.438791449207056</v>
      </c>
      <c r="J15" s="64">
        <f ca="1">IF(A15&lt;=Inputs!$B$21,"",IF(AND(A15&lt;=Inputs!$B$22,Capitalization!F$18&gt;0),Inputs!$B$25,Inputs!$B$26))</f>
        <v>0.97499999999999998</v>
      </c>
      <c r="K15" s="55">
        <f ca="1">IF(A15=0,-Capitalization!F$19,IF(A15&lt;=Inputs!$B$21,0,I15*J15-IF(AND(A15=Inputs!$B$22,Capitalization!F$18&gt;0),Inputs!$B$23,0)))</f>
        <v>17.977821662976879</v>
      </c>
      <c r="L15" s="65">
        <f t="shared" si="2"/>
        <v>1.7050373487272712</v>
      </c>
      <c r="M15" s="55">
        <f>IF(A15=0,-Capitalization!F$4,IF(A15&lt;=Inputs!$B$21,0,G15))</f>
        <v>44.59172006</v>
      </c>
    </row>
    <row r="16" spans="1:13" ht="15" customHeight="1" x14ac:dyDescent="0.2">
      <c r="A16" s="44">
        <v>11</v>
      </c>
      <c r="B16" s="44" t="str">
        <f>IF(A16=0,"Equity",IF(A16&lt;=Inputs!$B$21,"Construction",IF(A16&lt;=Inputs!$B$21+Inputs!$B$5,"Queue wait",IF(A16&lt;=Inputs!$B$21+Configurations!$D$15,"Grid ops"," "))))</f>
        <v>Grid ops</v>
      </c>
      <c r="C16" s="44">
        <f>IF(A16&lt;=Inputs!$B$21,"",A16-Inputs!$B$21-1)</f>
        <v>8</v>
      </c>
      <c r="D16" s="56">
        <f>IF(OR(A16&lt;=Inputs!$B$21,A16&gt;Inputs!$B$21+Configurations!$D$15),0,Configurations!$D$4*Configurations!$D$5*8760*(1-Configurations!$D$6)^C16*Configurations!$D$7*(1-Configurations!$D$8))</f>
        <v>730255.5</v>
      </c>
      <c r="E16" s="55">
        <f>IF(OR(A16&lt;=Inputs!$B$21,A16&gt;Inputs!$B$21+Configurations!$D$15),0,IF(A16&lt;=Inputs!$B$21+Inputs!$B$5,0,D16*Inputs!$B$18/1000000))</f>
        <v>52.578395999999998</v>
      </c>
      <c r="F16" s="55">
        <f>IF(OR(A16&lt;=Inputs!$B$21,A16&gt;Inputs!$B$21+Configurations!$D$15),0,IF(A16&lt;=Inputs!$B$21+Inputs!$B$5,Configurations!$D$13,Configurations!$D$12+Configurations!$D$13+Inputs!$B$20*E16))</f>
        <v>7.9866759400000005</v>
      </c>
      <c r="G16" s="55">
        <f t="shared" si="0"/>
        <v>44.59172006</v>
      </c>
      <c r="H16" s="63">
        <f>IF(AND(A16&gt;Inputs!$B$21,A16&lt;=Inputs!$B$21+Inputs!$B$12),Capitalization!F$12,0)</f>
        <v>26.152928610792944</v>
      </c>
      <c r="I16" s="55">
        <f t="shared" si="1"/>
        <v>18.438791449207056</v>
      </c>
      <c r="J16" s="64">
        <f ca="1">IF(A16&lt;=Inputs!$B$21,"",IF(AND(A16&lt;=Inputs!$B$22,Capitalization!F$18&gt;0),Inputs!$B$25,Inputs!$B$26))</f>
        <v>0.97499999999999998</v>
      </c>
      <c r="K16" s="55">
        <f ca="1">IF(A16=0,-Capitalization!F$19,IF(A16&lt;=Inputs!$B$21,0,I16*J16-IF(AND(A16=Inputs!$B$22,Capitalization!F$18&gt;0),Inputs!$B$23,0)))</f>
        <v>17.977821662976879</v>
      </c>
      <c r="L16" s="65">
        <f t="shared" si="2"/>
        <v>1.7050373487272712</v>
      </c>
      <c r="M16" s="55">
        <f>IF(A16=0,-Capitalization!F$4,IF(A16&lt;=Inputs!$B$21,0,G16))</f>
        <v>44.59172006</v>
      </c>
    </row>
    <row r="17" spans="1:13" ht="15" customHeight="1" x14ac:dyDescent="0.2">
      <c r="A17" s="44">
        <v>12</v>
      </c>
      <c r="B17" s="44" t="str">
        <f>IF(A17=0,"Equity",IF(A17&lt;=Inputs!$B$21,"Construction",IF(A17&lt;=Inputs!$B$21+Inputs!$B$5,"Queue wait",IF(A17&lt;=Inputs!$B$21+Configurations!$D$15,"Grid ops"," "))))</f>
        <v>Grid ops</v>
      </c>
      <c r="C17" s="44">
        <f>IF(A17&lt;=Inputs!$B$21,"",A17-Inputs!$B$21-1)</f>
        <v>9</v>
      </c>
      <c r="D17" s="56">
        <f>IF(OR(A17&lt;=Inputs!$B$21,A17&gt;Inputs!$B$21+Configurations!$D$15),0,Configurations!$D$4*Configurations!$D$5*8760*(1-Configurations!$D$6)^C17*Configurations!$D$7*(1-Configurations!$D$8))</f>
        <v>730255.5</v>
      </c>
      <c r="E17" s="55">
        <f>IF(OR(A17&lt;=Inputs!$B$21,A17&gt;Inputs!$B$21+Configurations!$D$15),0,IF(A17&lt;=Inputs!$B$21+Inputs!$B$5,0,D17*Inputs!$B$18/1000000))</f>
        <v>52.578395999999998</v>
      </c>
      <c r="F17" s="55">
        <f>IF(OR(A17&lt;=Inputs!$B$21,A17&gt;Inputs!$B$21+Configurations!$D$15),0,IF(A17&lt;=Inputs!$B$21+Inputs!$B$5,Configurations!$D$13,Configurations!$D$12+Configurations!$D$13+Inputs!$B$20*E17))</f>
        <v>7.9866759400000005</v>
      </c>
      <c r="G17" s="55">
        <f t="shared" si="0"/>
        <v>44.59172006</v>
      </c>
      <c r="H17" s="63">
        <f>IF(AND(A17&gt;Inputs!$B$21,A17&lt;=Inputs!$B$21+Inputs!$B$12),Capitalization!F$12,0)</f>
        <v>26.152928610792944</v>
      </c>
      <c r="I17" s="55">
        <f t="shared" si="1"/>
        <v>18.438791449207056</v>
      </c>
      <c r="J17" s="64">
        <f ca="1">IF(A17&lt;=Inputs!$B$21,"",IF(AND(A17&lt;=Inputs!$B$22,Capitalization!F$18&gt;0),Inputs!$B$25,Inputs!$B$26))</f>
        <v>0.97499999999999998</v>
      </c>
      <c r="K17" s="55">
        <f ca="1">IF(A17=0,-Capitalization!F$19,IF(A17&lt;=Inputs!$B$21,0,I17*J17-IF(AND(A17=Inputs!$B$22,Capitalization!F$18&gt;0),Inputs!$B$23,0)))</f>
        <v>17.977821662976879</v>
      </c>
      <c r="L17" s="65">
        <f t="shared" si="2"/>
        <v>1.7050373487272712</v>
      </c>
      <c r="M17" s="55">
        <f>IF(A17=0,-Capitalization!F$4,IF(A17&lt;=Inputs!$B$21,0,G17))</f>
        <v>44.59172006</v>
      </c>
    </row>
    <row r="18" spans="1:13" ht="15" customHeight="1" x14ac:dyDescent="0.2">
      <c r="A18" s="44">
        <v>13</v>
      </c>
      <c r="B18" s="44" t="str">
        <f>IF(A18=0,"Equity",IF(A18&lt;=Inputs!$B$21,"Construction",IF(A18&lt;=Inputs!$B$21+Inputs!$B$5,"Queue wait",IF(A18&lt;=Inputs!$B$21+Configurations!$D$15,"Grid ops"," "))))</f>
        <v>Grid ops</v>
      </c>
      <c r="C18" s="44">
        <f>IF(A18&lt;=Inputs!$B$21,"",A18-Inputs!$B$21-1)</f>
        <v>10</v>
      </c>
      <c r="D18" s="56">
        <f>IF(OR(A18&lt;=Inputs!$B$21,A18&gt;Inputs!$B$21+Configurations!$D$15),0,Configurations!$D$4*Configurations!$D$5*8760*(1-Configurations!$D$6)^C18*Configurations!$D$7*(1-Configurations!$D$8))</f>
        <v>730255.5</v>
      </c>
      <c r="E18" s="55">
        <f>IF(OR(A18&lt;=Inputs!$B$21,A18&gt;Inputs!$B$21+Configurations!$D$15),0,IF(A18&lt;=Inputs!$B$21+Inputs!$B$5,0,D18*Inputs!$B$18/1000000))</f>
        <v>52.578395999999998</v>
      </c>
      <c r="F18" s="55">
        <f>IF(OR(A18&lt;=Inputs!$B$21,A18&gt;Inputs!$B$21+Configurations!$D$15),0,IF(A18&lt;=Inputs!$B$21+Inputs!$B$5,Configurations!$D$13,Configurations!$D$12+Configurations!$D$13+Inputs!$B$20*E18))</f>
        <v>7.9866759400000005</v>
      </c>
      <c r="G18" s="55">
        <f t="shared" si="0"/>
        <v>44.59172006</v>
      </c>
      <c r="H18" s="63">
        <f>IF(AND(A18&gt;Inputs!$B$21,A18&lt;=Inputs!$B$21+Inputs!$B$12),Capitalization!F$12,0)</f>
        <v>26.152928610792944</v>
      </c>
      <c r="I18" s="55">
        <f t="shared" si="1"/>
        <v>18.438791449207056</v>
      </c>
      <c r="J18" s="64">
        <f ca="1">IF(A18&lt;=Inputs!$B$21,"",IF(AND(A18&lt;=Inputs!$B$22,Capitalization!F$18&gt;0),Inputs!$B$25,Inputs!$B$26))</f>
        <v>0.97499999999999998</v>
      </c>
      <c r="K18" s="55">
        <f ca="1">IF(A18=0,-Capitalization!F$19,IF(A18&lt;=Inputs!$B$21,0,I18*J18-IF(AND(A18=Inputs!$B$22,Capitalization!F$18&gt;0),Inputs!$B$23,0)))</f>
        <v>17.977821662976879</v>
      </c>
      <c r="L18" s="65">
        <f t="shared" si="2"/>
        <v>1.7050373487272712</v>
      </c>
      <c r="M18" s="55">
        <f>IF(A18=0,-Capitalization!F$4,IF(A18&lt;=Inputs!$B$21,0,G18))</f>
        <v>44.59172006</v>
      </c>
    </row>
    <row r="19" spans="1:13" ht="15" customHeight="1" x14ac:dyDescent="0.2">
      <c r="A19" s="44">
        <v>14</v>
      </c>
      <c r="B19" s="44" t="str">
        <f>IF(A19=0,"Equity",IF(A19&lt;=Inputs!$B$21,"Construction",IF(A19&lt;=Inputs!$B$21+Inputs!$B$5,"Queue wait",IF(A19&lt;=Inputs!$B$21+Configurations!$D$15,"Grid ops"," "))))</f>
        <v>Grid ops</v>
      </c>
      <c r="C19" s="44">
        <f>IF(A19&lt;=Inputs!$B$21,"",A19-Inputs!$B$21-1)</f>
        <v>11</v>
      </c>
      <c r="D19" s="56">
        <f>IF(OR(A19&lt;=Inputs!$B$21,A19&gt;Inputs!$B$21+Configurations!$D$15),0,Configurations!$D$4*Configurations!$D$5*8760*(1-Configurations!$D$6)^C19*Configurations!$D$7*(1-Configurations!$D$8))</f>
        <v>730255.5</v>
      </c>
      <c r="E19" s="55">
        <f>IF(OR(A19&lt;=Inputs!$B$21,A19&gt;Inputs!$B$21+Configurations!$D$15),0,IF(A19&lt;=Inputs!$B$21+Inputs!$B$5,0,D19*Inputs!$B$18/1000000))</f>
        <v>52.578395999999998</v>
      </c>
      <c r="F19" s="55">
        <f>IF(OR(A19&lt;=Inputs!$B$21,A19&gt;Inputs!$B$21+Configurations!$D$15),0,IF(A19&lt;=Inputs!$B$21+Inputs!$B$5,Configurations!$D$13,Configurations!$D$12+Configurations!$D$13+Inputs!$B$20*E19))</f>
        <v>7.9866759400000005</v>
      </c>
      <c r="G19" s="55">
        <f t="shared" si="0"/>
        <v>44.59172006</v>
      </c>
      <c r="H19" s="63">
        <f>IF(AND(A19&gt;Inputs!$B$21,A19&lt;=Inputs!$B$21+Inputs!$B$12),Capitalization!F$12,0)</f>
        <v>26.152928610792944</v>
      </c>
      <c r="I19" s="55">
        <f t="shared" si="1"/>
        <v>18.438791449207056</v>
      </c>
      <c r="J19" s="64">
        <f ca="1">IF(A19&lt;=Inputs!$B$21,"",IF(AND(A19&lt;=Inputs!$B$22,Capitalization!F$18&gt;0),Inputs!$B$25,Inputs!$B$26))</f>
        <v>0.97499999999999998</v>
      </c>
      <c r="K19" s="55">
        <f ca="1">IF(A19=0,-Capitalization!F$19,IF(A19&lt;=Inputs!$B$21,0,I19*J19-IF(AND(A19=Inputs!$B$22,Capitalization!F$18&gt;0),Inputs!$B$23,0)))</f>
        <v>17.977821662976879</v>
      </c>
      <c r="L19" s="65">
        <f t="shared" si="2"/>
        <v>1.7050373487272712</v>
      </c>
      <c r="M19" s="55">
        <f>IF(A19=0,-Capitalization!F$4,IF(A19&lt;=Inputs!$B$21,0,G19))</f>
        <v>44.59172006</v>
      </c>
    </row>
    <row r="20" spans="1:13" ht="15" customHeight="1" x14ac:dyDescent="0.2">
      <c r="A20" s="44">
        <v>15</v>
      </c>
      <c r="B20" s="44" t="str">
        <f>IF(A20=0,"Equity",IF(A20&lt;=Inputs!$B$21,"Construction",IF(A20&lt;=Inputs!$B$21+Inputs!$B$5,"Queue wait",IF(A20&lt;=Inputs!$B$21+Configurations!$D$15,"Grid ops"," "))))</f>
        <v>Grid ops</v>
      </c>
      <c r="C20" s="44">
        <f>IF(A20&lt;=Inputs!$B$21,"",A20-Inputs!$B$21-1)</f>
        <v>12</v>
      </c>
      <c r="D20" s="56">
        <f>IF(OR(A20&lt;=Inputs!$B$21,A20&gt;Inputs!$B$21+Configurations!$D$15),0,Configurations!$D$4*Configurations!$D$5*8760*(1-Configurations!$D$6)^C20*Configurations!$D$7*(1-Configurations!$D$8))</f>
        <v>730255.5</v>
      </c>
      <c r="E20" s="55">
        <f>IF(OR(A20&lt;=Inputs!$B$21,A20&gt;Inputs!$B$21+Configurations!$D$15),0,IF(A20&lt;=Inputs!$B$21+Inputs!$B$5,0,D20*Inputs!$B$18/1000000))</f>
        <v>52.578395999999998</v>
      </c>
      <c r="F20" s="55">
        <f>IF(OR(A20&lt;=Inputs!$B$21,A20&gt;Inputs!$B$21+Configurations!$D$15),0,IF(A20&lt;=Inputs!$B$21+Inputs!$B$5,Configurations!$D$13,Configurations!$D$12+Configurations!$D$13+Inputs!$B$20*E20))</f>
        <v>7.9866759400000005</v>
      </c>
      <c r="G20" s="55">
        <f t="shared" si="0"/>
        <v>44.59172006</v>
      </c>
      <c r="H20" s="63">
        <f>IF(AND(A20&gt;Inputs!$B$21,A20&lt;=Inputs!$B$21+Inputs!$B$12),Capitalization!F$12,0)</f>
        <v>26.152928610792944</v>
      </c>
      <c r="I20" s="55">
        <f t="shared" si="1"/>
        <v>18.438791449207056</v>
      </c>
      <c r="J20" s="64">
        <f ca="1">IF(A20&lt;=Inputs!$B$21,"",IF(AND(A20&lt;=Inputs!$B$22,Capitalization!F$18&gt;0),Inputs!$B$25,Inputs!$B$26))</f>
        <v>0.97499999999999998</v>
      </c>
      <c r="K20" s="55">
        <f ca="1">IF(A20=0,-Capitalization!F$19,IF(A20&lt;=Inputs!$B$21,0,I20*J20-IF(AND(A20=Inputs!$B$22,Capitalization!F$18&gt;0),Inputs!$B$23,0)))</f>
        <v>17.977821662976879</v>
      </c>
      <c r="L20" s="65">
        <f t="shared" si="2"/>
        <v>1.7050373487272712</v>
      </c>
      <c r="M20" s="55">
        <f>IF(A20=0,-Capitalization!F$4,IF(A20&lt;=Inputs!$B$21,0,G20))</f>
        <v>44.59172006</v>
      </c>
    </row>
    <row r="21" spans="1:13" ht="15" customHeight="1" x14ac:dyDescent="0.2">
      <c r="A21" s="44">
        <v>16</v>
      </c>
      <c r="B21" s="44" t="str">
        <f>IF(A21=0,"Equity",IF(A21&lt;=Inputs!$B$21,"Construction",IF(A21&lt;=Inputs!$B$21+Inputs!$B$5,"Queue wait",IF(A21&lt;=Inputs!$B$21+Configurations!$D$15,"Grid ops"," "))))</f>
        <v>Grid ops</v>
      </c>
      <c r="C21" s="44">
        <f>IF(A21&lt;=Inputs!$B$21,"",A21-Inputs!$B$21-1)</f>
        <v>13</v>
      </c>
      <c r="D21" s="56">
        <f>IF(OR(A21&lt;=Inputs!$B$21,A21&gt;Inputs!$B$21+Configurations!$D$15),0,Configurations!$D$4*Configurations!$D$5*8760*(1-Configurations!$D$6)^C21*Configurations!$D$7*(1-Configurations!$D$8))</f>
        <v>730255.5</v>
      </c>
      <c r="E21" s="55">
        <f>IF(OR(A21&lt;=Inputs!$B$21,A21&gt;Inputs!$B$21+Configurations!$D$15),0,IF(A21&lt;=Inputs!$B$21+Inputs!$B$5,0,D21*Inputs!$B$18/1000000))</f>
        <v>52.578395999999998</v>
      </c>
      <c r="F21" s="55">
        <f>IF(OR(A21&lt;=Inputs!$B$21,A21&gt;Inputs!$B$21+Configurations!$D$15),0,IF(A21&lt;=Inputs!$B$21+Inputs!$B$5,Configurations!$D$13,Configurations!$D$12+Configurations!$D$13+Inputs!$B$20*E21))</f>
        <v>7.9866759400000005</v>
      </c>
      <c r="G21" s="55">
        <f t="shared" si="0"/>
        <v>44.59172006</v>
      </c>
      <c r="H21" s="63">
        <f>IF(AND(A21&gt;Inputs!$B$21,A21&lt;=Inputs!$B$21+Inputs!$B$12),Capitalization!F$12,0)</f>
        <v>26.152928610792944</v>
      </c>
      <c r="I21" s="55">
        <f t="shared" si="1"/>
        <v>18.438791449207056</v>
      </c>
      <c r="J21" s="64">
        <f ca="1">IF(A21&lt;=Inputs!$B$21,"",IF(AND(A21&lt;=Inputs!$B$22,Capitalization!F$18&gt;0),Inputs!$B$25,Inputs!$B$26))</f>
        <v>0.97499999999999998</v>
      </c>
      <c r="K21" s="55">
        <f ca="1">IF(A21=0,-Capitalization!F$19,IF(A21&lt;=Inputs!$B$21,0,I21*J21-IF(AND(A21=Inputs!$B$22,Capitalization!F$18&gt;0),Inputs!$B$23,0)))</f>
        <v>17.977821662976879</v>
      </c>
      <c r="L21" s="65">
        <f t="shared" si="2"/>
        <v>1.7050373487272712</v>
      </c>
      <c r="M21" s="55">
        <f>IF(A21=0,-Capitalization!F$4,IF(A21&lt;=Inputs!$B$21,0,G21))</f>
        <v>44.59172006</v>
      </c>
    </row>
    <row r="22" spans="1:13" ht="15" customHeight="1" x14ac:dyDescent="0.2">
      <c r="A22" s="44">
        <v>17</v>
      </c>
      <c r="B22" s="44" t="str">
        <f>IF(A22=0,"Equity",IF(A22&lt;=Inputs!$B$21,"Construction",IF(A22&lt;=Inputs!$B$21+Inputs!$B$5,"Queue wait",IF(A22&lt;=Inputs!$B$21+Configurations!$D$15,"Grid ops"," "))))</f>
        <v>Grid ops</v>
      </c>
      <c r="C22" s="44">
        <f>IF(A22&lt;=Inputs!$B$21,"",A22-Inputs!$B$21-1)</f>
        <v>14</v>
      </c>
      <c r="D22" s="56">
        <f>IF(OR(A22&lt;=Inputs!$B$21,A22&gt;Inputs!$B$21+Configurations!$D$15),0,Configurations!$D$4*Configurations!$D$5*8760*(1-Configurations!$D$6)^C22*Configurations!$D$7*(1-Configurations!$D$8))</f>
        <v>730255.5</v>
      </c>
      <c r="E22" s="55">
        <f>IF(OR(A22&lt;=Inputs!$B$21,A22&gt;Inputs!$B$21+Configurations!$D$15),0,IF(A22&lt;=Inputs!$B$21+Inputs!$B$5,0,D22*Inputs!$B$18/1000000))</f>
        <v>52.578395999999998</v>
      </c>
      <c r="F22" s="55">
        <f>IF(OR(A22&lt;=Inputs!$B$21,A22&gt;Inputs!$B$21+Configurations!$D$15),0,IF(A22&lt;=Inputs!$B$21+Inputs!$B$5,Configurations!$D$13,Configurations!$D$12+Configurations!$D$13+Inputs!$B$20*E22))</f>
        <v>7.9866759400000005</v>
      </c>
      <c r="G22" s="55">
        <f t="shared" si="0"/>
        <v>44.59172006</v>
      </c>
      <c r="H22" s="63">
        <f>IF(AND(A22&gt;Inputs!$B$21,A22&lt;=Inputs!$B$21+Inputs!$B$12),Capitalization!F$12,0)</f>
        <v>26.152928610792944</v>
      </c>
      <c r="I22" s="55">
        <f t="shared" si="1"/>
        <v>18.438791449207056</v>
      </c>
      <c r="J22" s="64">
        <f ca="1">IF(A22&lt;=Inputs!$B$21,"",IF(AND(A22&lt;=Inputs!$B$22,Capitalization!F$18&gt;0),Inputs!$B$25,Inputs!$B$26))</f>
        <v>0.97499999999999998</v>
      </c>
      <c r="K22" s="55">
        <f ca="1">IF(A22=0,-Capitalization!F$19,IF(A22&lt;=Inputs!$B$21,0,I22*J22-IF(AND(A22=Inputs!$B$22,Capitalization!F$18&gt;0),Inputs!$B$23,0)))</f>
        <v>17.977821662976879</v>
      </c>
      <c r="L22" s="65">
        <f t="shared" si="2"/>
        <v>1.7050373487272712</v>
      </c>
      <c r="M22" s="55">
        <f>IF(A22=0,-Capitalization!F$4,IF(A22&lt;=Inputs!$B$21,0,G22))</f>
        <v>44.59172006</v>
      </c>
    </row>
    <row r="23" spans="1:13" ht="15" customHeight="1" x14ac:dyDescent="0.2">
      <c r="A23" s="44">
        <v>18</v>
      </c>
      <c r="B23" s="44" t="str">
        <f>IF(A23=0,"Equity",IF(A23&lt;=Inputs!$B$21,"Construction",IF(A23&lt;=Inputs!$B$21+Inputs!$B$5,"Queue wait",IF(A23&lt;=Inputs!$B$21+Configurations!$D$15,"Grid ops"," "))))</f>
        <v>Grid ops</v>
      </c>
      <c r="C23" s="44">
        <f>IF(A23&lt;=Inputs!$B$21,"",A23-Inputs!$B$21-1)</f>
        <v>15</v>
      </c>
      <c r="D23" s="56">
        <f>IF(OR(A23&lt;=Inputs!$B$21,A23&gt;Inputs!$B$21+Configurations!$D$15),0,Configurations!$D$4*Configurations!$D$5*8760*(1-Configurations!$D$6)^C23*Configurations!$D$7*(1-Configurations!$D$8))</f>
        <v>730255.5</v>
      </c>
      <c r="E23" s="55">
        <f>IF(OR(A23&lt;=Inputs!$B$21,A23&gt;Inputs!$B$21+Configurations!$D$15),0,IF(A23&lt;=Inputs!$B$21+Inputs!$B$5,0,D23*Inputs!$B$18/1000000))</f>
        <v>52.578395999999998</v>
      </c>
      <c r="F23" s="55">
        <f>IF(OR(A23&lt;=Inputs!$B$21,A23&gt;Inputs!$B$21+Configurations!$D$15),0,IF(A23&lt;=Inputs!$B$21+Inputs!$B$5,Configurations!$D$13,Configurations!$D$12+Configurations!$D$13+Inputs!$B$20*E23))</f>
        <v>7.9866759400000005</v>
      </c>
      <c r="G23" s="55">
        <f t="shared" si="0"/>
        <v>44.59172006</v>
      </c>
      <c r="H23" s="63">
        <f>IF(AND(A23&gt;Inputs!$B$21,A23&lt;=Inputs!$B$21+Inputs!$B$12),Capitalization!F$12,0)</f>
        <v>26.152928610792944</v>
      </c>
      <c r="I23" s="55">
        <f t="shared" si="1"/>
        <v>18.438791449207056</v>
      </c>
      <c r="J23" s="64">
        <f ca="1">IF(A23&lt;=Inputs!$B$21,"",IF(AND(A23&lt;=Inputs!$B$22,Capitalization!F$18&gt;0),Inputs!$B$25,Inputs!$B$26))</f>
        <v>0.97499999999999998</v>
      </c>
      <c r="K23" s="55">
        <f ca="1">IF(A23=0,-Capitalization!F$19,IF(A23&lt;=Inputs!$B$21,0,I23*J23-IF(AND(A23=Inputs!$B$22,Capitalization!F$18&gt;0),Inputs!$B$23,0)))</f>
        <v>17.977821662976879</v>
      </c>
      <c r="L23" s="65">
        <f t="shared" si="2"/>
        <v>1.7050373487272712</v>
      </c>
      <c r="M23" s="55">
        <f>IF(A23=0,-Capitalization!F$4,IF(A23&lt;=Inputs!$B$21,0,G23))</f>
        <v>44.59172006</v>
      </c>
    </row>
    <row r="24" spans="1:13" ht="15" customHeight="1" x14ac:dyDescent="0.2">
      <c r="A24" s="44">
        <v>19</v>
      </c>
      <c r="B24" s="44" t="str">
        <f>IF(A24=0,"Equity",IF(A24&lt;=Inputs!$B$21,"Construction",IF(A24&lt;=Inputs!$B$21+Inputs!$B$5,"Queue wait",IF(A24&lt;=Inputs!$B$21+Configurations!$D$15,"Grid ops"," "))))</f>
        <v>Grid ops</v>
      </c>
      <c r="C24" s="44">
        <f>IF(A24&lt;=Inputs!$B$21,"",A24-Inputs!$B$21-1)</f>
        <v>16</v>
      </c>
      <c r="D24" s="56">
        <f>IF(OR(A24&lt;=Inputs!$B$21,A24&gt;Inputs!$B$21+Configurations!$D$15),0,Configurations!$D$4*Configurations!$D$5*8760*(1-Configurations!$D$6)^C24*Configurations!$D$7*(1-Configurations!$D$8))</f>
        <v>730255.5</v>
      </c>
      <c r="E24" s="55">
        <f>IF(OR(A24&lt;=Inputs!$B$21,A24&gt;Inputs!$B$21+Configurations!$D$15),0,IF(A24&lt;=Inputs!$B$21+Inputs!$B$5,0,D24*Inputs!$B$18/1000000))</f>
        <v>52.578395999999998</v>
      </c>
      <c r="F24" s="55">
        <f>IF(OR(A24&lt;=Inputs!$B$21,A24&gt;Inputs!$B$21+Configurations!$D$15),0,IF(A24&lt;=Inputs!$B$21+Inputs!$B$5,Configurations!$D$13,Configurations!$D$12+Configurations!$D$13+Inputs!$B$20*E24))</f>
        <v>7.9866759400000005</v>
      </c>
      <c r="G24" s="55">
        <f t="shared" si="0"/>
        <v>44.59172006</v>
      </c>
      <c r="H24" s="63">
        <f>IF(AND(A24&gt;Inputs!$B$21,A24&lt;=Inputs!$B$21+Inputs!$B$12),Capitalization!F$12,0)</f>
        <v>26.152928610792944</v>
      </c>
      <c r="I24" s="55">
        <f t="shared" si="1"/>
        <v>18.438791449207056</v>
      </c>
      <c r="J24" s="64">
        <f ca="1">IF(A24&lt;=Inputs!$B$21,"",IF(AND(A24&lt;=Inputs!$B$22,Capitalization!F$18&gt;0),Inputs!$B$25,Inputs!$B$26))</f>
        <v>0.97499999999999998</v>
      </c>
      <c r="K24" s="55">
        <f ca="1">IF(A24=0,-Capitalization!F$19,IF(A24&lt;=Inputs!$B$21,0,I24*J24-IF(AND(A24=Inputs!$B$22,Capitalization!F$18&gt;0),Inputs!$B$23,0)))</f>
        <v>17.977821662976879</v>
      </c>
      <c r="L24" s="65">
        <f t="shared" si="2"/>
        <v>1.7050373487272712</v>
      </c>
      <c r="M24" s="55">
        <f>IF(A24=0,-Capitalization!F$4,IF(A24&lt;=Inputs!$B$21,0,G24))</f>
        <v>44.59172006</v>
      </c>
    </row>
    <row r="25" spans="1:13" ht="15" customHeight="1" x14ac:dyDescent="0.2">
      <c r="A25" s="44">
        <v>20</v>
      </c>
      <c r="B25" s="44" t="str">
        <f>IF(A25=0,"Equity",IF(A25&lt;=Inputs!$B$21,"Construction",IF(A25&lt;=Inputs!$B$21+Inputs!$B$5,"Queue wait",IF(A25&lt;=Inputs!$B$21+Configurations!$D$15,"Grid ops"," "))))</f>
        <v>Grid ops</v>
      </c>
      <c r="C25" s="44">
        <f>IF(A25&lt;=Inputs!$B$21,"",A25-Inputs!$B$21-1)</f>
        <v>17</v>
      </c>
      <c r="D25" s="56">
        <f>IF(OR(A25&lt;=Inputs!$B$21,A25&gt;Inputs!$B$21+Configurations!$D$15),0,Configurations!$D$4*Configurations!$D$5*8760*(1-Configurations!$D$6)^C25*Configurations!$D$7*(1-Configurations!$D$8))</f>
        <v>730255.5</v>
      </c>
      <c r="E25" s="55">
        <f>IF(OR(A25&lt;=Inputs!$B$21,A25&gt;Inputs!$B$21+Configurations!$D$15),0,IF(A25&lt;=Inputs!$B$21+Inputs!$B$5,0,D25*Inputs!$B$18/1000000))</f>
        <v>52.578395999999998</v>
      </c>
      <c r="F25" s="55">
        <f>IF(OR(A25&lt;=Inputs!$B$21,A25&gt;Inputs!$B$21+Configurations!$D$15),0,IF(A25&lt;=Inputs!$B$21+Inputs!$B$5,Configurations!$D$13,Configurations!$D$12+Configurations!$D$13+Inputs!$B$20*E25))</f>
        <v>7.9866759400000005</v>
      </c>
      <c r="G25" s="55">
        <f t="shared" si="0"/>
        <v>44.59172006</v>
      </c>
      <c r="H25" s="63">
        <f>IF(AND(A25&gt;Inputs!$B$21,A25&lt;=Inputs!$B$21+Inputs!$B$12),Capitalization!F$12,0)</f>
        <v>26.152928610792944</v>
      </c>
      <c r="I25" s="55">
        <f t="shared" si="1"/>
        <v>18.438791449207056</v>
      </c>
      <c r="J25" s="64">
        <f ca="1">IF(A25&lt;=Inputs!$B$21,"",IF(AND(A25&lt;=Inputs!$B$22,Capitalization!F$18&gt;0),Inputs!$B$25,Inputs!$B$26))</f>
        <v>0.97499999999999998</v>
      </c>
      <c r="K25" s="55">
        <f ca="1">IF(A25=0,-Capitalization!F$19,IF(A25&lt;=Inputs!$B$21,0,I25*J25-IF(AND(A25=Inputs!$B$22,Capitalization!F$18&gt;0),Inputs!$B$23,0)))</f>
        <v>17.977821662976879</v>
      </c>
      <c r="L25" s="65">
        <f t="shared" si="2"/>
        <v>1.7050373487272712</v>
      </c>
      <c r="M25" s="55">
        <f>IF(A25=0,-Capitalization!F$4,IF(A25&lt;=Inputs!$B$21,0,G25))</f>
        <v>44.59172006</v>
      </c>
    </row>
    <row r="26" spans="1:13" ht="15" customHeight="1" x14ac:dyDescent="0.2">
      <c r="A26" s="44">
        <v>21</v>
      </c>
      <c r="B26" s="44" t="str">
        <f>IF(A26=0,"Equity",IF(A26&lt;=Inputs!$B$21,"Construction",IF(A26&lt;=Inputs!$B$21+Inputs!$B$5,"Queue wait",IF(A26&lt;=Inputs!$B$21+Configurations!$D$15,"Grid ops"," "))))</f>
        <v>Grid ops</v>
      </c>
      <c r="C26" s="44">
        <f>IF(A26&lt;=Inputs!$B$21,"",A26-Inputs!$B$21-1)</f>
        <v>18</v>
      </c>
      <c r="D26" s="56">
        <f>IF(OR(A26&lt;=Inputs!$B$21,A26&gt;Inputs!$B$21+Configurations!$D$15),0,Configurations!$D$4*Configurations!$D$5*8760*(1-Configurations!$D$6)^C26*Configurations!$D$7*(1-Configurations!$D$8))</f>
        <v>730255.5</v>
      </c>
      <c r="E26" s="55">
        <f>IF(OR(A26&lt;=Inputs!$B$21,A26&gt;Inputs!$B$21+Configurations!$D$15),0,IF(A26&lt;=Inputs!$B$21+Inputs!$B$5,0,D26*Inputs!$B$18/1000000))</f>
        <v>52.578395999999998</v>
      </c>
      <c r="F26" s="55">
        <f>IF(OR(A26&lt;=Inputs!$B$21,A26&gt;Inputs!$B$21+Configurations!$D$15),0,IF(A26&lt;=Inputs!$B$21+Inputs!$B$5,Configurations!$D$13,Configurations!$D$12+Configurations!$D$13+Inputs!$B$20*E26))</f>
        <v>7.9866759400000005</v>
      </c>
      <c r="G26" s="55">
        <f t="shared" si="0"/>
        <v>44.59172006</v>
      </c>
      <c r="H26" s="63">
        <f>IF(AND(A26&gt;Inputs!$B$21,A26&lt;=Inputs!$B$21+Inputs!$B$12),Capitalization!F$12,0)</f>
        <v>26.152928610792944</v>
      </c>
      <c r="I26" s="55">
        <f t="shared" si="1"/>
        <v>18.438791449207056</v>
      </c>
      <c r="J26" s="64">
        <f ca="1">IF(A26&lt;=Inputs!$B$21,"",IF(AND(A26&lt;=Inputs!$B$22,Capitalization!F$18&gt;0),Inputs!$B$25,Inputs!$B$26))</f>
        <v>0.97499999999999998</v>
      </c>
      <c r="K26" s="55">
        <f ca="1">IF(A26=0,-Capitalization!F$19,IF(A26&lt;=Inputs!$B$21,0,I26*J26-IF(AND(A26=Inputs!$B$22,Capitalization!F$18&gt;0),Inputs!$B$23,0)))</f>
        <v>17.977821662976879</v>
      </c>
      <c r="L26" s="65">
        <f t="shared" si="2"/>
        <v>1.7050373487272712</v>
      </c>
      <c r="M26" s="55">
        <f>IF(A26=0,-Capitalization!F$4,IF(A26&lt;=Inputs!$B$21,0,G26))</f>
        <v>44.59172006</v>
      </c>
    </row>
    <row r="27" spans="1:13" ht="15" customHeight="1" x14ac:dyDescent="0.2">
      <c r="A27" s="44">
        <v>22</v>
      </c>
      <c r="B27" s="44" t="str">
        <f>IF(A27=0,"Equity",IF(A27&lt;=Inputs!$B$21,"Construction",IF(A27&lt;=Inputs!$B$21+Inputs!$B$5,"Queue wait",IF(A27&lt;=Inputs!$B$21+Configurations!$D$15,"Grid ops"," "))))</f>
        <v>Grid ops</v>
      </c>
      <c r="C27" s="44">
        <f>IF(A27&lt;=Inputs!$B$21,"",A27-Inputs!$B$21-1)</f>
        <v>19</v>
      </c>
      <c r="D27" s="56">
        <f>IF(OR(A27&lt;=Inputs!$B$21,A27&gt;Inputs!$B$21+Configurations!$D$15),0,Configurations!$D$4*Configurations!$D$5*8760*(1-Configurations!$D$6)^C27*Configurations!$D$7*(1-Configurations!$D$8))</f>
        <v>730255.5</v>
      </c>
      <c r="E27" s="55">
        <f>IF(OR(A27&lt;=Inputs!$B$21,A27&gt;Inputs!$B$21+Configurations!$D$15),0,IF(A27&lt;=Inputs!$B$21+Inputs!$B$5,0,D27*Inputs!$B$18/1000000))</f>
        <v>52.578395999999998</v>
      </c>
      <c r="F27" s="55">
        <f>IF(OR(A27&lt;=Inputs!$B$21,A27&gt;Inputs!$B$21+Configurations!$D$15),0,IF(A27&lt;=Inputs!$B$21+Inputs!$B$5,Configurations!$D$13,Configurations!$D$12+Configurations!$D$13+Inputs!$B$20*E27))</f>
        <v>7.9866759400000005</v>
      </c>
      <c r="G27" s="55">
        <f t="shared" si="0"/>
        <v>44.59172006</v>
      </c>
      <c r="H27" s="63">
        <f>IF(AND(A27&gt;Inputs!$B$21,A27&lt;=Inputs!$B$21+Inputs!$B$12),Capitalization!F$12,0)</f>
        <v>26.152928610792944</v>
      </c>
      <c r="I27" s="55">
        <f t="shared" si="1"/>
        <v>18.438791449207056</v>
      </c>
      <c r="J27" s="64">
        <f ca="1">IF(A27&lt;=Inputs!$B$21,"",IF(AND(A27&lt;=Inputs!$B$22,Capitalization!F$18&gt;0),Inputs!$B$25,Inputs!$B$26))</f>
        <v>0.97499999999999998</v>
      </c>
      <c r="K27" s="55">
        <f ca="1">IF(A27=0,-Capitalization!F$19,IF(A27&lt;=Inputs!$B$21,0,I27*J27-IF(AND(A27=Inputs!$B$22,Capitalization!F$18&gt;0),Inputs!$B$23,0)))</f>
        <v>17.977821662976879</v>
      </c>
      <c r="L27" s="65">
        <f t="shared" si="2"/>
        <v>1.7050373487272712</v>
      </c>
      <c r="M27" s="55">
        <f>IF(A27=0,-Capitalization!F$4,IF(A27&lt;=Inputs!$B$21,0,G27))</f>
        <v>44.59172006</v>
      </c>
    </row>
    <row r="28" spans="1:13" ht="15" customHeight="1" x14ac:dyDescent="0.2">
      <c r="A28" s="44">
        <v>23</v>
      </c>
      <c r="B28" s="44" t="str">
        <f>IF(A28=0,"Equity",IF(A28&lt;=Inputs!$B$21,"Construction",IF(A28&lt;=Inputs!$B$21+Inputs!$B$5,"Queue wait",IF(A28&lt;=Inputs!$B$21+Configurations!$D$15,"Grid ops"," "))))</f>
        <v>Grid ops</v>
      </c>
      <c r="C28" s="44">
        <f>IF(A28&lt;=Inputs!$B$21,"",A28-Inputs!$B$21-1)</f>
        <v>20</v>
      </c>
      <c r="D28" s="56">
        <f>IF(OR(A28&lt;=Inputs!$B$21,A28&gt;Inputs!$B$21+Configurations!$D$15),0,Configurations!$D$4*Configurations!$D$5*8760*(1-Configurations!$D$6)^C28*Configurations!$D$7*(1-Configurations!$D$8))</f>
        <v>730255.5</v>
      </c>
      <c r="E28" s="55">
        <f>IF(OR(A28&lt;=Inputs!$B$21,A28&gt;Inputs!$B$21+Configurations!$D$15),0,IF(A28&lt;=Inputs!$B$21+Inputs!$B$5,0,D28*Inputs!$B$18/1000000))</f>
        <v>52.578395999999998</v>
      </c>
      <c r="F28" s="55">
        <f>IF(OR(A28&lt;=Inputs!$B$21,A28&gt;Inputs!$B$21+Configurations!$D$15),0,IF(A28&lt;=Inputs!$B$21+Inputs!$B$5,Configurations!$D$13,Configurations!$D$12+Configurations!$D$13+Inputs!$B$20*E28))</f>
        <v>7.9866759400000005</v>
      </c>
      <c r="G28" s="55">
        <f t="shared" si="0"/>
        <v>44.59172006</v>
      </c>
      <c r="H28" s="63">
        <f>IF(AND(A28&gt;Inputs!$B$21,A28&lt;=Inputs!$B$21+Inputs!$B$12),Capitalization!F$12,0)</f>
        <v>0</v>
      </c>
      <c r="I28" s="55">
        <f t="shared" si="1"/>
        <v>44.59172006</v>
      </c>
      <c r="J28" s="64">
        <f ca="1">IF(A28&lt;=Inputs!$B$21,"",IF(AND(A28&lt;=Inputs!$B$22,Capitalization!F$18&gt;0),Inputs!$B$25,Inputs!$B$26))</f>
        <v>0.97499999999999998</v>
      </c>
      <c r="K28" s="55">
        <f ca="1">IF(A28=0,-Capitalization!F$19,IF(A28&lt;=Inputs!$B$21,0,I28*J28-IF(AND(A28=Inputs!$B$22,Capitalization!F$18&gt;0),Inputs!$B$23,0)))</f>
        <v>43.476927058499996</v>
      </c>
      <c r="L28" s="65" t="str">
        <f t="shared" si="2"/>
        <v/>
      </c>
      <c r="M28" s="55">
        <f>IF(A28=0,-Capitalization!F$4,IF(A28&lt;=Inputs!$B$21,0,G28))</f>
        <v>44.59172006</v>
      </c>
    </row>
    <row r="29" spans="1:13" ht="15" customHeight="1" x14ac:dyDescent="0.2">
      <c r="A29" s="44">
        <v>24</v>
      </c>
      <c r="B29" s="44" t="str">
        <f>IF(A29=0,"Equity",IF(A29&lt;=Inputs!$B$21,"Construction",IF(A29&lt;=Inputs!$B$21+Inputs!$B$5,"Queue wait",IF(A29&lt;=Inputs!$B$21+Configurations!$D$15,"Grid ops"," "))))</f>
        <v>Grid ops</v>
      </c>
      <c r="C29" s="44">
        <f>IF(A29&lt;=Inputs!$B$21,"",A29-Inputs!$B$21-1)</f>
        <v>21</v>
      </c>
      <c r="D29" s="56">
        <f>IF(OR(A29&lt;=Inputs!$B$21,A29&gt;Inputs!$B$21+Configurations!$D$15),0,Configurations!$D$4*Configurations!$D$5*8760*(1-Configurations!$D$6)^C29*Configurations!$D$7*(1-Configurations!$D$8))</f>
        <v>730255.5</v>
      </c>
      <c r="E29" s="55">
        <f>IF(OR(A29&lt;=Inputs!$B$21,A29&gt;Inputs!$B$21+Configurations!$D$15),0,IF(A29&lt;=Inputs!$B$21+Inputs!$B$5,0,D29*Inputs!$B$18/1000000))</f>
        <v>52.578395999999998</v>
      </c>
      <c r="F29" s="55">
        <f>IF(OR(A29&lt;=Inputs!$B$21,A29&gt;Inputs!$B$21+Configurations!$D$15),0,IF(A29&lt;=Inputs!$B$21+Inputs!$B$5,Configurations!$D$13,Configurations!$D$12+Configurations!$D$13+Inputs!$B$20*E29))</f>
        <v>7.9866759400000005</v>
      </c>
      <c r="G29" s="55">
        <f t="shared" si="0"/>
        <v>44.59172006</v>
      </c>
      <c r="H29" s="63">
        <f>IF(AND(A29&gt;Inputs!$B$21,A29&lt;=Inputs!$B$21+Inputs!$B$12),Capitalization!F$12,0)</f>
        <v>0</v>
      </c>
      <c r="I29" s="55">
        <f t="shared" si="1"/>
        <v>44.59172006</v>
      </c>
      <c r="J29" s="64">
        <f ca="1">IF(A29&lt;=Inputs!$B$21,"",IF(AND(A29&lt;=Inputs!$B$22,Capitalization!F$18&gt;0),Inputs!$B$25,Inputs!$B$26))</f>
        <v>0.97499999999999998</v>
      </c>
      <c r="K29" s="55">
        <f ca="1">IF(A29=0,-Capitalization!F$19,IF(A29&lt;=Inputs!$B$21,0,I29*J29-IF(AND(A29=Inputs!$B$22,Capitalization!F$18&gt;0),Inputs!$B$23,0)))</f>
        <v>43.476927058499996</v>
      </c>
      <c r="L29" s="65" t="str">
        <f t="shared" si="2"/>
        <v/>
      </c>
      <c r="M29" s="55">
        <f>IF(A29=0,-Capitalization!F$4,IF(A29&lt;=Inputs!$B$21,0,G29))</f>
        <v>44.59172006</v>
      </c>
    </row>
    <row r="30" spans="1:13" ht="15" customHeight="1" x14ac:dyDescent="0.2">
      <c r="A30" s="44">
        <v>25</v>
      </c>
      <c r="B30" s="44" t="str">
        <f>IF(A30=0,"Equity",IF(A30&lt;=Inputs!$B$21,"Construction",IF(A30&lt;=Inputs!$B$21+Inputs!$B$5,"Queue wait",IF(A30&lt;=Inputs!$B$21+Configurations!$D$15,"Grid ops"," "))))</f>
        <v>Grid ops</v>
      </c>
      <c r="C30" s="44">
        <f>IF(A30&lt;=Inputs!$B$21,"",A30-Inputs!$B$21-1)</f>
        <v>22</v>
      </c>
      <c r="D30" s="56">
        <f>IF(OR(A30&lt;=Inputs!$B$21,A30&gt;Inputs!$B$21+Configurations!$D$15),0,Configurations!$D$4*Configurations!$D$5*8760*(1-Configurations!$D$6)^C30*Configurations!$D$7*(1-Configurations!$D$8))</f>
        <v>730255.5</v>
      </c>
      <c r="E30" s="55">
        <f>IF(OR(A30&lt;=Inputs!$B$21,A30&gt;Inputs!$B$21+Configurations!$D$15),0,IF(A30&lt;=Inputs!$B$21+Inputs!$B$5,0,D30*Inputs!$B$18/1000000))</f>
        <v>52.578395999999998</v>
      </c>
      <c r="F30" s="55">
        <f>IF(OR(A30&lt;=Inputs!$B$21,A30&gt;Inputs!$B$21+Configurations!$D$15),0,IF(A30&lt;=Inputs!$B$21+Inputs!$B$5,Configurations!$D$13,Configurations!$D$12+Configurations!$D$13+Inputs!$B$20*E30))</f>
        <v>7.9866759400000005</v>
      </c>
      <c r="G30" s="55">
        <f t="shared" si="0"/>
        <v>44.59172006</v>
      </c>
      <c r="H30" s="63">
        <f>IF(AND(A30&gt;Inputs!$B$21,A30&lt;=Inputs!$B$21+Inputs!$B$12),Capitalization!F$12,0)</f>
        <v>0</v>
      </c>
      <c r="I30" s="55">
        <f t="shared" si="1"/>
        <v>44.59172006</v>
      </c>
      <c r="J30" s="64">
        <f ca="1">IF(A30&lt;=Inputs!$B$21,"",IF(AND(A30&lt;=Inputs!$B$22,Capitalization!F$18&gt;0),Inputs!$B$25,Inputs!$B$26))</f>
        <v>0.97499999999999998</v>
      </c>
      <c r="K30" s="55">
        <f ca="1">IF(A30=0,-Capitalization!F$19,IF(A30&lt;=Inputs!$B$21,0,I30*J30-IF(AND(A30=Inputs!$B$22,Capitalization!F$18&gt;0),Inputs!$B$23,0)))</f>
        <v>43.476927058499996</v>
      </c>
      <c r="L30" s="65" t="str">
        <f t="shared" si="2"/>
        <v/>
      </c>
      <c r="M30" s="55">
        <f>IF(A30=0,-Capitalization!F$4,IF(A30&lt;=Inputs!$B$21,0,G30))</f>
        <v>44.59172006</v>
      </c>
    </row>
    <row r="31" spans="1:13" ht="15" customHeight="1" x14ac:dyDescent="0.2">
      <c r="A31" s="44">
        <v>26</v>
      </c>
      <c r="B31" s="44" t="str">
        <f>IF(A31=0,"Equity",IF(A31&lt;=Inputs!$B$21,"Construction",IF(A31&lt;=Inputs!$B$21+Inputs!$B$5,"Queue wait",IF(A31&lt;=Inputs!$B$21+Configurations!$D$15,"Grid ops"," "))))</f>
        <v>Grid ops</v>
      </c>
      <c r="C31" s="44">
        <f>IF(A31&lt;=Inputs!$B$21,"",A31-Inputs!$B$21-1)</f>
        <v>23</v>
      </c>
      <c r="D31" s="56">
        <f>IF(OR(A31&lt;=Inputs!$B$21,A31&gt;Inputs!$B$21+Configurations!$D$15),0,Configurations!$D$4*Configurations!$D$5*8760*(1-Configurations!$D$6)^C31*Configurations!$D$7*(1-Configurations!$D$8))</f>
        <v>730255.5</v>
      </c>
      <c r="E31" s="55">
        <f>IF(OR(A31&lt;=Inputs!$B$21,A31&gt;Inputs!$B$21+Configurations!$D$15),0,IF(A31&lt;=Inputs!$B$21+Inputs!$B$5,0,D31*Inputs!$B$18/1000000))</f>
        <v>52.578395999999998</v>
      </c>
      <c r="F31" s="55">
        <f>IF(OR(A31&lt;=Inputs!$B$21,A31&gt;Inputs!$B$21+Configurations!$D$15),0,IF(A31&lt;=Inputs!$B$21+Inputs!$B$5,Configurations!$D$13,Configurations!$D$12+Configurations!$D$13+Inputs!$B$20*E31))</f>
        <v>7.9866759400000005</v>
      </c>
      <c r="G31" s="55">
        <f t="shared" si="0"/>
        <v>44.59172006</v>
      </c>
      <c r="H31" s="63">
        <f>IF(AND(A31&gt;Inputs!$B$21,A31&lt;=Inputs!$B$21+Inputs!$B$12),Capitalization!F$12,0)</f>
        <v>0</v>
      </c>
      <c r="I31" s="55">
        <f t="shared" si="1"/>
        <v>44.59172006</v>
      </c>
      <c r="J31" s="64">
        <f ca="1">IF(A31&lt;=Inputs!$B$21,"",IF(AND(A31&lt;=Inputs!$B$22,Capitalization!F$18&gt;0),Inputs!$B$25,Inputs!$B$26))</f>
        <v>0.97499999999999998</v>
      </c>
      <c r="K31" s="55">
        <f ca="1">IF(A31=0,-Capitalization!F$19,IF(A31&lt;=Inputs!$B$21,0,I31*J31-IF(AND(A31=Inputs!$B$22,Capitalization!F$18&gt;0),Inputs!$B$23,0)))</f>
        <v>43.476927058499996</v>
      </c>
      <c r="L31" s="65" t="str">
        <f t="shared" si="2"/>
        <v/>
      </c>
      <c r="M31" s="55">
        <f>IF(A31=0,-Capitalization!F$4,IF(A31&lt;=Inputs!$B$21,0,G31))</f>
        <v>44.59172006</v>
      </c>
    </row>
    <row r="32" spans="1:13" ht="15" customHeight="1" x14ac:dyDescent="0.2">
      <c r="A32" s="44">
        <v>27</v>
      </c>
      <c r="B32" s="44" t="str">
        <f>IF(A32=0,"Equity",IF(A32&lt;=Inputs!$B$21,"Construction",IF(A32&lt;=Inputs!$B$21+Inputs!$B$5,"Queue wait",IF(A32&lt;=Inputs!$B$21+Configurations!$D$15,"Grid ops"," "))))</f>
        <v>Grid ops</v>
      </c>
      <c r="C32" s="44">
        <f>IF(A32&lt;=Inputs!$B$21,"",A32-Inputs!$B$21-1)</f>
        <v>24</v>
      </c>
      <c r="D32" s="56">
        <f>IF(OR(A32&lt;=Inputs!$B$21,A32&gt;Inputs!$B$21+Configurations!$D$15),0,Configurations!$D$4*Configurations!$D$5*8760*(1-Configurations!$D$6)^C32*Configurations!$D$7*(1-Configurations!$D$8))</f>
        <v>730255.5</v>
      </c>
      <c r="E32" s="55">
        <f>IF(OR(A32&lt;=Inputs!$B$21,A32&gt;Inputs!$B$21+Configurations!$D$15),0,IF(A32&lt;=Inputs!$B$21+Inputs!$B$5,0,D32*Inputs!$B$18/1000000))</f>
        <v>52.578395999999998</v>
      </c>
      <c r="F32" s="55">
        <f>IF(OR(A32&lt;=Inputs!$B$21,A32&gt;Inputs!$B$21+Configurations!$D$15),0,IF(A32&lt;=Inputs!$B$21+Inputs!$B$5,Configurations!$D$13,Configurations!$D$12+Configurations!$D$13+Inputs!$B$20*E32))</f>
        <v>7.9866759400000005</v>
      </c>
      <c r="G32" s="55">
        <f t="shared" si="0"/>
        <v>44.59172006</v>
      </c>
      <c r="H32" s="63">
        <f>IF(AND(A32&gt;Inputs!$B$21,A32&lt;=Inputs!$B$21+Inputs!$B$12),Capitalization!F$12,0)</f>
        <v>0</v>
      </c>
      <c r="I32" s="55">
        <f t="shared" si="1"/>
        <v>44.59172006</v>
      </c>
      <c r="J32" s="64">
        <f ca="1">IF(A32&lt;=Inputs!$B$21,"",IF(AND(A32&lt;=Inputs!$B$22,Capitalization!F$18&gt;0),Inputs!$B$25,Inputs!$B$26))</f>
        <v>0.97499999999999998</v>
      </c>
      <c r="K32" s="55">
        <f ca="1">IF(A32=0,-Capitalization!F$19,IF(A32&lt;=Inputs!$B$21,0,I32*J32-IF(AND(A32=Inputs!$B$22,Capitalization!F$18&gt;0),Inputs!$B$23,0)))</f>
        <v>43.476927058499996</v>
      </c>
      <c r="L32" s="65" t="str">
        <f t="shared" si="2"/>
        <v/>
      </c>
      <c r="M32" s="55">
        <f>IF(A32=0,-Capitalization!F$4,IF(A32&lt;=Inputs!$B$21,0,G32))</f>
        <v>44.59172006</v>
      </c>
    </row>
    <row r="33" spans="1:13" ht="15" customHeight="1" x14ac:dyDescent="0.2">
      <c r="A33" s="44">
        <v>28</v>
      </c>
      <c r="B33" s="44" t="str">
        <f>IF(A33=0,"Equity",IF(A33&lt;=Inputs!$B$21,"Construction",IF(A33&lt;=Inputs!$B$21+Inputs!$B$5,"Queue wait",IF(A33&lt;=Inputs!$B$21+Configurations!$D$15,"Grid ops"," "))))</f>
        <v>Grid ops</v>
      </c>
      <c r="C33" s="44">
        <f>IF(A33&lt;=Inputs!$B$21,"",A33-Inputs!$B$21-1)</f>
        <v>25</v>
      </c>
      <c r="D33" s="56">
        <f>IF(OR(A33&lt;=Inputs!$B$21,A33&gt;Inputs!$B$21+Configurations!$D$15),0,Configurations!$D$4*Configurations!$D$5*8760*(1-Configurations!$D$6)^C33*Configurations!$D$7*(1-Configurations!$D$8))</f>
        <v>730255.5</v>
      </c>
      <c r="E33" s="55">
        <f>IF(OR(A33&lt;=Inputs!$B$21,A33&gt;Inputs!$B$21+Configurations!$D$15),0,IF(A33&lt;=Inputs!$B$21+Inputs!$B$5,0,D33*Inputs!$B$18/1000000))</f>
        <v>52.578395999999998</v>
      </c>
      <c r="F33" s="55">
        <f>IF(OR(A33&lt;=Inputs!$B$21,A33&gt;Inputs!$B$21+Configurations!$D$15),0,IF(A33&lt;=Inputs!$B$21+Inputs!$B$5,Configurations!$D$13,Configurations!$D$12+Configurations!$D$13+Inputs!$B$20*E33))</f>
        <v>7.9866759400000005</v>
      </c>
      <c r="G33" s="55">
        <f t="shared" si="0"/>
        <v>44.59172006</v>
      </c>
      <c r="H33" s="63">
        <f>IF(AND(A33&gt;Inputs!$B$21,A33&lt;=Inputs!$B$21+Inputs!$B$12),Capitalization!F$12,0)</f>
        <v>0</v>
      </c>
      <c r="I33" s="55">
        <f t="shared" si="1"/>
        <v>44.59172006</v>
      </c>
      <c r="J33" s="64">
        <f ca="1">IF(A33&lt;=Inputs!$B$21,"",IF(AND(A33&lt;=Inputs!$B$22,Capitalization!F$18&gt;0),Inputs!$B$25,Inputs!$B$26))</f>
        <v>0.97499999999999998</v>
      </c>
      <c r="K33" s="55">
        <f ca="1">IF(A33=0,-Capitalization!F$19,IF(A33&lt;=Inputs!$B$21,0,I33*J33-IF(AND(A33=Inputs!$B$22,Capitalization!F$18&gt;0),Inputs!$B$23,0)))</f>
        <v>43.476927058499996</v>
      </c>
      <c r="L33" s="65" t="str">
        <f t="shared" si="2"/>
        <v/>
      </c>
      <c r="M33" s="55">
        <f>IF(A33=0,-Capitalization!F$4,IF(A33&lt;=Inputs!$B$21,0,G33))</f>
        <v>44.59172006</v>
      </c>
    </row>
    <row r="34" spans="1:13" ht="15" customHeight="1" x14ac:dyDescent="0.2">
      <c r="A34" s="44">
        <v>29</v>
      </c>
      <c r="B34" s="44" t="str">
        <f>IF(A34=0,"Equity",IF(A34&lt;=Inputs!$B$21,"Construction",IF(A34&lt;=Inputs!$B$21+Inputs!$B$5,"Queue wait",IF(A34&lt;=Inputs!$B$21+Configurations!$D$15,"Grid ops"," "))))</f>
        <v>Grid ops</v>
      </c>
      <c r="C34" s="44">
        <f>IF(A34&lt;=Inputs!$B$21,"",A34-Inputs!$B$21-1)</f>
        <v>26</v>
      </c>
      <c r="D34" s="56">
        <f>IF(OR(A34&lt;=Inputs!$B$21,A34&gt;Inputs!$B$21+Configurations!$D$15),0,Configurations!$D$4*Configurations!$D$5*8760*(1-Configurations!$D$6)^C34*Configurations!$D$7*(1-Configurations!$D$8))</f>
        <v>730255.5</v>
      </c>
      <c r="E34" s="55">
        <f>IF(OR(A34&lt;=Inputs!$B$21,A34&gt;Inputs!$B$21+Configurations!$D$15),0,IF(A34&lt;=Inputs!$B$21+Inputs!$B$5,0,D34*Inputs!$B$18/1000000))</f>
        <v>52.578395999999998</v>
      </c>
      <c r="F34" s="55">
        <f>IF(OR(A34&lt;=Inputs!$B$21,A34&gt;Inputs!$B$21+Configurations!$D$15),0,IF(A34&lt;=Inputs!$B$21+Inputs!$B$5,Configurations!$D$13,Configurations!$D$12+Configurations!$D$13+Inputs!$B$20*E34))</f>
        <v>7.9866759400000005</v>
      </c>
      <c r="G34" s="55">
        <f t="shared" si="0"/>
        <v>44.59172006</v>
      </c>
      <c r="H34" s="63">
        <f>IF(AND(A34&gt;Inputs!$B$21,A34&lt;=Inputs!$B$21+Inputs!$B$12),Capitalization!F$12,0)</f>
        <v>0</v>
      </c>
      <c r="I34" s="55">
        <f t="shared" si="1"/>
        <v>44.59172006</v>
      </c>
      <c r="J34" s="64">
        <f ca="1">IF(A34&lt;=Inputs!$B$21,"",IF(AND(A34&lt;=Inputs!$B$22,Capitalization!F$18&gt;0),Inputs!$B$25,Inputs!$B$26))</f>
        <v>0.97499999999999998</v>
      </c>
      <c r="K34" s="55">
        <f ca="1">IF(A34=0,-Capitalization!F$19,IF(A34&lt;=Inputs!$B$21,0,I34*J34-IF(AND(A34=Inputs!$B$22,Capitalization!F$18&gt;0),Inputs!$B$23,0)))</f>
        <v>43.476927058499996</v>
      </c>
      <c r="L34" s="65" t="str">
        <f t="shared" si="2"/>
        <v/>
      </c>
      <c r="M34" s="55">
        <f>IF(A34=0,-Capitalization!F$4,IF(A34&lt;=Inputs!$B$21,0,G34))</f>
        <v>44.59172006</v>
      </c>
    </row>
    <row r="35" spans="1:13" ht="15" customHeight="1" x14ac:dyDescent="0.2">
      <c r="A35" s="44">
        <v>30</v>
      </c>
      <c r="B35" s="44" t="str">
        <f>IF(A35=0,"Equity",IF(A35&lt;=Inputs!$B$21,"Construction",IF(A35&lt;=Inputs!$B$21+Inputs!$B$5,"Queue wait",IF(A35&lt;=Inputs!$B$21+Configurations!$D$15,"Grid ops"," "))))</f>
        <v>Grid ops</v>
      </c>
      <c r="C35" s="44">
        <f>IF(A35&lt;=Inputs!$B$21,"",A35-Inputs!$B$21-1)</f>
        <v>27</v>
      </c>
      <c r="D35" s="56">
        <f>IF(OR(A35&lt;=Inputs!$B$21,A35&gt;Inputs!$B$21+Configurations!$D$15),0,Configurations!$D$4*Configurations!$D$5*8760*(1-Configurations!$D$6)^C35*Configurations!$D$7*(1-Configurations!$D$8))</f>
        <v>730255.5</v>
      </c>
      <c r="E35" s="55">
        <f>IF(OR(A35&lt;=Inputs!$B$21,A35&gt;Inputs!$B$21+Configurations!$D$15),0,IF(A35&lt;=Inputs!$B$21+Inputs!$B$5,0,D35*Inputs!$B$18/1000000))</f>
        <v>52.578395999999998</v>
      </c>
      <c r="F35" s="55">
        <f>IF(OR(A35&lt;=Inputs!$B$21,A35&gt;Inputs!$B$21+Configurations!$D$15),0,IF(A35&lt;=Inputs!$B$21+Inputs!$B$5,Configurations!$D$13,Configurations!$D$12+Configurations!$D$13+Inputs!$B$20*E35))</f>
        <v>7.9866759400000005</v>
      </c>
      <c r="G35" s="55">
        <f t="shared" si="0"/>
        <v>44.59172006</v>
      </c>
      <c r="H35" s="63">
        <f>IF(AND(A35&gt;Inputs!$B$21,A35&lt;=Inputs!$B$21+Inputs!$B$12),Capitalization!F$12,0)</f>
        <v>0</v>
      </c>
      <c r="I35" s="55">
        <f t="shared" si="1"/>
        <v>44.59172006</v>
      </c>
      <c r="J35" s="64">
        <f ca="1">IF(A35&lt;=Inputs!$B$21,"",IF(AND(A35&lt;=Inputs!$B$22,Capitalization!F$18&gt;0),Inputs!$B$25,Inputs!$B$26))</f>
        <v>0.97499999999999998</v>
      </c>
      <c r="K35" s="55">
        <f ca="1">IF(A35=0,-Capitalization!F$19,IF(A35&lt;=Inputs!$B$21,0,I35*J35-IF(AND(A35=Inputs!$B$22,Capitalization!F$18&gt;0),Inputs!$B$23,0)))</f>
        <v>43.476927058499996</v>
      </c>
      <c r="L35" s="65" t="str">
        <f t="shared" si="2"/>
        <v/>
      </c>
      <c r="M35" s="55">
        <f>IF(A35=0,-Capitalization!F$4,IF(A35&lt;=Inputs!$B$21,0,G35))</f>
        <v>44.59172006</v>
      </c>
    </row>
    <row r="36" spans="1:13" ht="15" customHeight="1" x14ac:dyDescent="0.2">
      <c r="A36" s="44">
        <v>31</v>
      </c>
      <c r="B36" s="44" t="str">
        <f>IF(A36=0,"Equity",IF(A36&lt;=Inputs!$B$21,"Construction",IF(A36&lt;=Inputs!$B$21+Inputs!$B$5,"Queue wait",IF(A36&lt;=Inputs!$B$21+Configurations!$D$15,"Grid ops"," "))))</f>
        <v>Grid ops</v>
      </c>
      <c r="C36" s="44">
        <f>IF(A36&lt;=Inputs!$B$21,"",A36-Inputs!$B$21-1)</f>
        <v>28</v>
      </c>
      <c r="D36" s="56">
        <f>IF(OR(A36&lt;=Inputs!$B$21,A36&gt;Inputs!$B$21+Configurations!$D$15),0,Configurations!$D$4*Configurations!$D$5*8760*(1-Configurations!$D$6)^C36*Configurations!$D$7*(1-Configurations!$D$8))</f>
        <v>730255.5</v>
      </c>
      <c r="E36" s="55">
        <f>IF(OR(A36&lt;=Inputs!$B$21,A36&gt;Inputs!$B$21+Configurations!$D$15),0,IF(A36&lt;=Inputs!$B$21+Inputs!$B$5,0,D36*Inputs!$B$18/1000000))</f>
        <v>52.578395999999998</v>
      </c>
      <c r="F36" s="55">
        <f>IF(OR(A36&lt;=Inputs!$B$21,A36&gt;Inputs!$B$21+Configurations!$D$15),0,IF(A36&lt;=Inputs!$B$21+Inputs!$B$5,Configurations!$D$13,Configurations!$D$12+Configurations!$D$13+Inputs!$B$20*E36))</f>
        <v>7.9866759400000005</v>
      </c>
      <c r="G36" s="55">
        <f t="shared" si="0"/>
        <v>44.59172006</v>
      </c>
      <c r="H36" s="63">
        <f>IF(AND(A36&gt;Inputs!$B$21,A36&lt;=Inputs!$B$21+Inputs!$B$12),Capitalization!F$12,0)</f>
        <v>0</v>
      </c>
      <c r="I36" s="55">
        <f t="shared" si="1"/>
        <v>44.59172006</v>
      </c>
      <c r="J36" s="64">
        <f ca="1">IF(A36&lt;=Inputs!$B$21,"",IF(AND(A36&lt;=Inputs!$B$22,Capitalization!F$18&gt;0),Inputs!$B$25,Inputs!$B$26))</f>
        <v>0.97499999999999998</v>
      </c>
      <c r="K36" s="55">
        <f ca="1">IF(A36=0,-Capitalization!F$19,IF(A36&lt;=Inputs!$B$21,0,I36*J36-IF(AND(A36=Inputs!$B$22,Capitalization!F$18&gt;0),Inputs!$B$23,0)))</f>
        <v>43.476927058499996</v>
      </c>
      <c r="L36" s="65" t="str">
        <f t="shared" si="2"/>
        <v/>
      </c>
      <c r="M36" s="55">
        <f>IF(A36=0,-Capitalization!F$4,IF(A36&lt;=Inputs!$B$21,0,G36))</f>
        <v>44.59172006</v>
      </c>
    </row>
    <row r="37" spans="1:13" ht="15" customHeight="1" x14ac:dyDescent="0.2">
      <c r="A37" s="44">
        <v>32</v>
      </c>
      <c r="B37" s="44" t="str">
        <f>IF(A37=0,"Equity",IF(A37&lt;=Inputs!$B$21,"Construction",IF(A37&lt;=Inputs!$B$21+Inputs!$B$5,"Queue wait",IF(A37&lt;=Inputs!$B$21+Configurations!$D$15,"Grid ops"," "))))</f>
        <v>Grid ops</v>
      </c>
      <c r="C37" s="44">
        <f>IF(A37&lt;=Inputs!$B$21,"",A37-Inputs!$B$21-1)</f>
        <v>29</v>
      </c>
      <c r="D37" s="56">
        <f>IF(OR(A37&lt;=Inputs!$B$21,A37&gt;Inputs!$B$21+Configurations!$D$15),0,Configurations!$D$4*Configurations!$D$5*8760*(1-Configurations!$D$6)^C37*Configurations!$D$7*(1-Configurations!$D$8))</f>
        <v>730255.5</v>
      </c>
      <c r="E37" s="55">
        <f>IF(OR(A37&lt;=Inputs!$B$21,A37&gt;Inputs!$B$21+Configurations!$D$15),0,IF(A37&lt;=Inputs!$B$21+Inputs!$B$5,0,D37*Inputs!$B$18/1000000))</f>
        <v>52.578395999999998</v>
      </c>
      <c r="F37" s="55">
        <f>IF(OR(A37&lt;=Inputs!$B$21,A37&gt;Inputs!$B$21+Configurations!$D$15),0,IF(A37&lt;=Inputs!$B$21+Inputs!$B$5,Configurations!$D$13,Configurations!$D$12+Configurations!$D$13+Inputs!$B$20*E37))</f>
        <v>7.9866759400000005</v>
      </c>
      <c r="G37" s="55">
        <f t="shared" si="0"/>
        <v>44.59172006</v>
      </c>
      <c r="H37" s="63">
        <f>IF(AND(A37&gt;Inputs!$B$21,A37&lt;=Inputs!$B$21+Inputs!$B$12),Capitalization!F$12,0)</f>
        <v>0</v>
      </c>
      <c r="I37" s="55">
        <f t="shared" si="1"/>
        <v>44.59172006</v>
      </c>
      <c r="J37" s="64">
        <f ca="1">IF(A37&lt;=Inputs!$B$21,"",IF(AND(A37&lt;=Inputs!$B$22,Capitalization!F$18&gt;0),Inputs!$B$25,Inputs!$B$26))</f>
        <v>0.97499999999999998</v>
      </c>
      <c r="K37" s="55">
        <f ca="1">IF(A37=0,-Capitalization!F$19,IF(A37&lt;=Inputs!$B$21,0,I37*J37-IF(AND(A37=Inputs!$B$22,Capitalization!F$18&gt;0),Inputs!$B$23,0)))</f>
        <v>43.476927058499996</v>
      </c>
      <c r="L37" s="65" t="str">
        <f t="shared" si="2"/>
        <v/>
      </c>
      <c r="M37" s="55">
        <f>IF(A37=0,-Capitalization!F$4,IF(A37&lt;=Inputs!$B$21,0,G37))</f>
        <v>44.59172006</v>
      </c>
    </row>
  </sheetData>
  <phoneticPr fontId="22"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37"/>
  <sheetViews>
    <sheetView zoomScaleNormal="100" workbookViewId="0"/>
  </sheetViews>
  <sheetFormatPr baseColWidth="10" defaultColWidth="8.6640625" defaultRowHeight="15" x14ac:dyDescent="0.2"/>
  <cols>
    <col min="1" max="1" width="6" customWidth="1"/>
    <col min="2" max="2" width="12" customWidth="1"/>
    <col min="4" max="13" width="13" customWidth="1"/>
  </cols>
  <sheetData>
    <row r="1" spans="1:13" ht="15.75" customHeight="1" x14ac:dyDescent="0.2">
      <c r="A1" s="7" t="s">
        <v>401</v>
      </c>
    </row>
    <row r="2" spans="1:13" ht="15" customHeight="1" x14ac:dyDescent="0.2">
      <c r="A2" s="57" t="s">
        <v>382</v>
      </c>
      <c r="B2" s="59">
        <f ca="1">IRR(K5:K37)</f>
        <v>0.3308196855407548</v>
      </c>
      <c r="C2" s="57" t="s">
        <v>383</v>
      </c>
      <c r="D2" s="60">
        <f ca="1">IRR(M5:M37)</f>
        <v>6.536859575211551E-2</v>
      </c>
      <c r="E2" s="57" t="s">
        <v>384</v>
      </c>
      <c r="F2" s="61">
        <f ca="1">K5+NPV(Inputs!$B$24,K6:K37)</f>
        <v>186.66422165770078</v>
      </c>
    </row>
    <row r="4" spans="1:13" ht="26.25" customHeight="1" x14ac:dyDescent="0.2">
      <c r="A4" s="62" t="s">
        <v>64</v>
      </c>
      <c r="B4" s="62" t="s">
        <v>385</v>
      </c>
      <c r="C4" s="62" t="s">
        <v>386</v>
      </c>
      <c r="D4" s="62" t="s">
        <v>387</v>
      </c>
      <c r="E4" s="62" t="s">
        <v>388</v>
      </c>
      <c r="F4" s="62" t="s">
        <v>389</v>
      </c>
      <c r="G4" s="62" t="s">
        <v>390</v>
      </c>
      <c r="H4" s="62" t="s">
        <v>391</v>
      </c>
      <c r="I4" s="62" t="s">
        <v>392</v>
      </c>
      <c r="J4" s="62" t="s">
        <v>393</v>
      </c>
      <c r="K4" s="62" t="s">
        <v>394</v>
      </c>
      <c r="L4" s="62" t="s">
        <v>395</v>
      </c>
      <c r="M4" s="62" t="s">
        <v>396</v>
      </c>
    </row>
    <row r="5" spans="1:13" ht="15" customHeight="1" x14ac:dyDescent="0.2">
      <c r="A5" s="44">
        <v>0</v>
      </c>
      <c r="B5" s="44" t="str">
        <f>IF(A5=0,"Equity",IF(A5&lt;=Inputs!$B$21,"Construction",IF(A5&lt;=Inputs!$B$21+Inputs!$B$5,"Queue wait",IF(A5&lt;=Inputs!$B$21+Configurations!$D$15,"Grid ops"," "))))</f>
        <v>Equity</v>
      </c>
      <c r="C5" s="44" t="str">
        <f>IF(A5&lt;=Inputs!$B$21,"",A5-Inputs!$B$21-1)</f>
        <v/>
      </c>
      <c r="D5" s="56">
        <f>IF(OR(A5&lt;=Inputs!$B$21,A5&gt;Inputs!$B$21+Configurations!$D$15),0,Configurations!$D$4*Configurations!$D$5*8760*(1-Configurations!$D$6)^C5*Configurations!$D$7*(1-Configurations!$D$8))</f>
        <v>0</v>
      </c>
      <c r="E5" s="55">
        <f>IF(OR(A5&lt;=Inputs!$B$21,A5&gt;Inputs!$B$21+Configurations!$D$15),0,IF(A5&lt;=Inputs!$B$21+Inputs!$B$5,D5*(1-Inputs!$B$10)*Configurations!$D$16/1000000,D5*Inputs!$B$18/1000000))</f>
        <v>0</v>
      </c>
      <c r="F5" s="55">
        <f>IF(OR(A5&lt;=Inputs!$B$21,A5&gt;Inputs!$B$21+Configurations!$D$15),0,Configurations!$D$12+Configurations!$D$13+Configurations!$D$14+Inputs!$B$20*E5)</f>
        <v>0</v>
      </c>
      <c r="G5" s="55">
        <f t="shared" ref="G5:G37" si="0">E5-F5</f>
        <v>0</v>
      </c>
      <c r="H5" s="63">
        <f>IF(AND(A5&gt;Inputs!$B$21,A5&lt;=Inputs!$B$21+Inputs!$B$12),Capitalization!G$12,0)</f>
        <v>0</v>
      </c>
      <c r="I5" s="55">
        <f t="shared" ref="I5:I37" si="1">G5-H5</f>
        <v>0</v>
      </c>
      <c r="J5" s="64" t="str">
        <f>IF(A5&lt;=Inputs!$B$21,"",IF(AND(A5&lt;=Inputs!$B$22,Capitalization!G$18&gt;0),Inputs!$B$25,Inputs!$B$26))</f>
        <v/>
      </c>
      <c r="K5" s="55">
        <f ca="1">IF(A5=0,-Capitalization!G$19,IF(A5&lt;=Inputs!$B$21,0,I5*J5-IF(AND(A5=Inputs!$B$22,Capitalization!G$18&gt;0),Inputs!$B$23,0)))</f>
        <v>-43.9740855703227</v>
      </c>
      <c r="L5" s="65" t="str">
        <f t="shared" ref="L5:L37" si="2">IF(H5&gt;0,G5/H5,"")</f>
        <v/>
      </c>
      <c r="M5" s="55">
        <f>IF(A5=0,-Capitalization!G$4,IF(A5&lt;=Inputs!$B$21,0,G5))</f>
        <v>-580.25</v>
      </c>
    </row>
    <row r="6" spans="1:13" ht="15" customHeight="1" x14ac:dyDescent="0.2">
      <c r="A6" s="44">
        <v>1</v>
      </c>
      <c r="B6" s="44" t="str">
        <f>IF(A6=0,"Equity",IF(A6&lt;=Inputs!$B$21,"Construction",IF(A6&lt;=Inputs!$B$21+Inputs!$B$5,"Queue wait",IF(A6&lt;=Inputs!$B$21+Configurations!$D$15,"Grid ops"," "))))</f>
        <v>Construction</v>
      </c>
      <c r="C6" s="44" t="str">
        <f>IF(A6&lt;=Inputs!$B$21,"",A6-Inputs!$B$21-1)</f>
        <v/>
      </c>
      <c r="D6" s="56">
        <f>IF(OR(A6&lt;=Inputs!$B$21,A6&gt;Inputs!$B$21+Configurations!$D$15),0,Configurations!$D$4*Configurations!$D$5*8760*(1-Configurations!$D$6)^C6*Configurations!$D$7*(1-Configurations!$D$8))</f>
        <v>0</v>
      </c>
      <c r="E6" s="55">
        <f>IF(OR(A6&lt;=Inputs!$B$21,A6&gt;Inputs!$B$21+Configurations!$D$15),0,IF(A6&lt;=Inputs!$B$21+Inputs!$B$5,D6*(1-Inputs!$B$10)*Configurations!$D$16/1000000,D6*Inputs!$B$18/1000000))</f>
        <v>0</v>
      </c>
      <c r="F6" s="55">
        <f>IF(OR(A6&lt;=Inputs!$B$21,A6&gt;Inputs!$B$21+Configurations!$D$15),0,Configurations!$D$12+Configurations!$D$13+Configurations!$D$14+Inputs!$B$20*E6)</f>
        <v>0</v>
      </c>
      <c r="G6" s="55">
        <f t="shared" si="0"/>
        <v>0</v>
      </c>
      <c r="H6" s="63">
        <f>IF(AND(A6&gt;Inputs!$B$21,A6&lt;=Inputs!$B$21+Inputs!$B$12),Capitalization!G$12,0)</f>
        <v>0</v>
      </c>
      <c r="I6" s="55">
        <f t="shared" si="1"/>
        <v>0</v>
      </c>
      <c r="J6" s="64" t="str">
        <f>IF(A6&lt;=Inputs!$B$21,"",IF(AND(A6&lt;=Inputs!$B$22,Capitalization!G$18&gt;0),Inputs!$B$25,Inputs!$B$26))</f>
        <v/>
      </c>
      <c r="K6" s="55">
        <f>IF(A6=0,-Capitalization!G$19,IF(A6&lt;=Inputs!$B$21,0,I6*J6-IF(AND(A6=Inputs!$B$22,Capitalization!G$18&gt;0),Inputs!$B$23,0)))</f>
        <v>0</v>
      </c>
      <c r="L6" s="65" t="str">
        <f t="shared" si="2"/>
        <v/>
      </c>
      <c r="M6" s="55">
        <f>IF(A6=0,-Capitalization!G$4,IF(A6&lt;=Inputs!$B$21,0,G6))</f>
        <v>0</v>
      </c>
    </row>
    <row r="7" spans="1:13" ht="15" customHeight="1" x14ac:dyDescent="0.2">
      <c r="A7" s="44">
        <v>2</v>
      </c>
      <c r="B7" s="44" t="str">
        <f>IF(A7=0,"Equity",IF(A7&lt;=Inputs!$B$21,"Construction",IF(A7&lt;=Inputs!$B$21+Inputs!$B$5,"Queue wait",IF(A7&lt;=Inputs!$B$21+Configurations!$D$15,"Grid ops"," "))))</f>
        <v>Construction</v>
      </c>
      <c r="C7" s="44" t="str">
        <f>IF(A7&lt;=Inputs!$B$21,"",A7-Inputs!$B$21-1)</f>
        <v/>
      </c>
      <c r="D7" s="56">
        <f>IF(OR(A7&lt;=Inputs!$B$21,A7&gt;Inputs!$B$21+Configurations!$D$15),0,Configurations!$D$4*Configurations!$D$5*8760*(1-Configurations!$D$6)^C7*Configurations!$D$7*(1-Configurations!$D$8))</f>
        <v>0</v>
      </c>
      <c r="E7" s="55">
        <f>IF(OR(A7&lt;=Inputs!$B$21,A7&gt;Inputs!$B$21+Configurations!$D$15),0,IF(A7&lt;=Inputs!$B$21+Inputs!$B$5,D7*(1-Inputs!$B$10)*Configurations!$D$16/1000000,D7*Inputs!$B$18/1000000))</f>
        <v>0</v>
      </c>
      <c r="F7" s="55">
        <f>IF(OR(A7&lt;=Inputs!$B$21,A7&gt;Inputs!$B$21+Configurations!$D$15),0,Configurations!$D$12+Configurations!$D$13+Configurations!$D$14+Inputs!$B$20*E7)</f>
        <v>0</v>
      </c>
      <c r="G7" s="55">
        <f t="shared" si="0"/>
        <v>0</v>
      </c>
      <c r="H7" s="63">
        <f>IF(AND(A7&gt;Inputs!$B$21,A7&lt;=Inputs!$B$21+Inputs!$B$12),Capitalization!G$12,0)</f>
        <v>0</v>
      </c>
      <c r="I7" s="55">
        <f t="shared" si="1"/>
        <v>0</v>
      </c>
      <c r="J7" s="64" t="str">
        <f>IF(A7&lt;=Inputs!$B$21,"",IF(AND(A7&lt;=Inputs!$B$22,Capitalization!G$18&gt;0),Inputs!$B$25,Inputs!$B$26))</f>
        <v/>
      </c>
      <c r="K7" s="55">
        <f>IF(A7=0,-Capitalization!G$19,IF(A7&lt;=Inputs!$B$21,0,I7*J7-IF(AND(A7=Inputs!$B$22,Capitalization!G$18&gt;0),Inputs!$B$23,0)))</f>
        <v>0</v>
      </c>
      <c r="L7" s="65" t="str">
        <f t="shared" si="2"/>
        <v/>
      </c>
      <c r="M7" s="55">
        <f>IF(A7=0,-Capitalization!G$4,IF(A7&lt;=Inputs!$B$21,0,G7))</f>
        <v>0</v>
      </c>
    </row>
    <row r="8" spans="1:13" ht="15" customHeight="1" x14ac:dyDescent="0.2">
      <c r="A8" s="44">
        <v>3</v>
      </c>
      <c r="B8" s="44" t="str">
        <f>IF(A8=0,"Equity",IF(A8&lt;=Inputs!$B$21,"Construction",IF(A8&lt;=Inputs!$B$21+Inputs!$B$5,"Queue wait",IF(A8&lt;=Inputs!$B$21+Configurations!$D$15,"Grid ops"," "))))</f>
        <v>Queue wait</v>
      </c>
      <c r="C8" s="44">
        <f>IF(A8&lt;=Inputs!$B$21,"",A8-Inputs!$B$21-1)</f>
        <v>0</v>
      </c>
      <c r="D8" s="56">
        <f>IF(OR(A8&lt;=Inputs!$B$21,A8&gt;Inputs!$B$21+Configurations!$D$15),0,Configurations!$D$4*Configurations!$D$5*8760*(1-Configurations!$D$6)^C8*Configurations!$D$7*(1-Configurations!$D$8))</f>
        <v>730255.5</v>
      </c>
      <c r="E8" s="55">
        <f ca="1">IF(OR(A8&lt;=Inputs!$B$21,A8&gt;Inputs!$B$21+Configurations!$D$15),0,IF(A8&lt;=Inputs!$B$21+Inputs!$B$5,D8*(1-Inputs!$B$10)*Configurations!$D$16/1000000,D8*Inputs!$B$18/1000000))</f>
        <v>78.754788049135129</v>
      </c>
      <c r="F8" s="55">
        <f ca="1">IF(OR(A8&lt;=Inputs!$B$21,A8&gt;Inputs!$B$21+Configurations!$D$15),0,Configurations!$D$12+Configurations!$D$13+Configurations!$D$14+Inputs!$B$20*E8)</f>
        <v>9.1293218207370277</v>
      </c>
      <c r="G8" s="55">
        <f t="shared" ca="1" si="0"/>
        <v>69.625466228398096</v>
      </c>
      <c r="H8" s="63">
        <f>IF(AND(A8&gt;Inputs!$B$21,A8&lt;=Inputs!$B$21+Inputs!$B$12),Capitalization!G$12,0)</f>
        <v>26.705212189023506</v>
      </c>
      <c r="I8" s="55">
        <f t="shared" ca="1" si="1"/>
        <v>42.920254039374591</v>
      </c>
      <c r="J8" s="64">
        <f ca="1">IF(A8&lt;=Inputs!$B$21,"",IF(AND(A8&lt;=Inputs!$B$22,Capitalization!G$18&gt;0),Inputs!$B$25,Inputs!$B$26))</f>
        <v>0.7</v>
      </c>
      <c r="K8" s="55">
        <f ca="1">IF(A8=0,-Capitalization!G$19,IF(A8&lt;=Inputs!$B$21,0,I8*J8-IF(AND(A8=Inputs!$B$22,Capitalization!G$18&gt;0),Inputs!$B$23,0)))</f>
        <v>30.044177827562212</v>
      </c>
      <c r="L8" s="65">
        <f t="shared" ca="1" si="2"/>
        <v>2.6071864074914881</v>
      </c>
      <c r="M8" s="55">
        <f ca="1">IF(A8=0,-Capitalization!G$4,IF(A8&lt;=Inputs!$B$21,0,G8))</f>
        <v>69.625466228398096</v>
      </c>
    </row>
    <row r="9" spans="1:13" ht="15" customHeight="1" x14ac:dyDescent="0.2">
      <c r="A9" s="44">
        <v>4</v>
      </c>
      <c r="B9" s="44" t="str">
        <f>IF(A9=0,"Equity",IF(A9&lt;=Inputs!$B$21,"Construction",IF(A9&lt;=Inputs!$B$21+Inputs!$B$5,"Queue wait",IF(A9&lt;=Inputs!$B$21+Configurations!$D$15,"Grid ops"," "))))</f>
        <v>Queue wait</v>
      </c>
      <c r="C9" s="44">
        <f>IF(A9&lt;=Inputs!$B$21,"",A9-Inputs!$B$21-1)</f>
        <v>1</v>
      </c>
      <c r="D9" s="56">
        <f>IF(OR(A9&lt;=Inputs!$B$21,A9&gt;Inputs!$B$21+Configurations!$D$15),0,Configurations!$D$4*Configurations!$D$5*8760*(1-Configurations!$D$6)^C9*Configurations!$D$7*(1-Configurations!$D$8))</f>
        <v>730255.5</v>
      </c>
      <c r="E9" s="55">
        <f ca="1">IF(OR(A9&lt;=Inputs!$B$21,A9&gt;Inputs!$B$21+Configurations!$D$15),0,IF(A9&lt;=Inputs!$B$21+Inputs!$B$5,D9*(1-Inputs!$B$10)*Configurations!$D$16/1000000,D9*Inputs!$B$18/1000000))</f>
        <v>78.754788049135129</v>
      </c>
      <c r="F9" s="55">
        <f ca="1">IF(OR(A9&lt;=Inputs!$B$21,A9&gt;Inputs!$B$21+Configurations!$D$15),0,Configurations!$D$12+Configurations!$D$13+Configurations!$D$14+Inputs!$B$20*E9)</f>
        <v>9.1293218207370277</v>
      </c>
      <c r="G9" s="55">
        <f t="shared" ca="1" si="0"/>
        <v>69.625466228398096</v>
      </c>
      <c r="H9" s="63">
        <f>IF(AND(A9&gt;Inputs!$B$21,A9&lt;=Inputs!$B$21+Inputs!$B$12),Capitalization!G$12,0)</f>
        <v>26.705212189023506</v>
      </c>
      <c r="I9" s="55">
        <f t="shared" ca="1" si="1"/>
        <v>42.920254039374591</v>
      </c>
      <c r="J9" s="64">
        <f ca="1">IF(A9&lt;=Inputs!$B$21,"",IF(AND(A9&lt;=Inputs!$B$22,Capitalization!G$18&gt;0),Inputs!$B$25,Inputs!$B$26))</f>
        <v>0.7</v>
      </c>
      <c r="K9" s="55">
        <f ca="1">IF(A9=0,-Capitalization!G$19,IF(A9&lt;=Inputs!$B$21,0,I9*J9-IF(AND(A9=Inputs!$B$22,Capitalization!G$18&gt;0),Inputs!$B$23,0)))</f>
        <v>30.044177827562212</v>
      </c>
      <c r="L9" s="65">
        <f t="shared" ca="1" si="2"/>
        <v>2.6071864074914881</v>
      </c>
      <c r="M9" s="55">
        <f ca="1">IF(A9=0,-Capitalization!G$4,IF(A9&lt;=Inputs!$B$21,0,G9))</f>
        <v>69.625466228398096</v>
      </c>
    </row>
    <row r="10" spans="1:13" ht="15" customHeight="1" x14ac:dyDescent="0.2">
      <c r="A10" s="44">
        <v>5</v>
      </c>
      <c r="B10" s="44" t="str">
        <f>IF(A10=0,"Equity",IF(A10&lt;=Inputs!$B$21,"Construction",IF(A10&lt;=Inputs!$B$21+Inputs!$B$5,"Queue wait",IF(A10&lt;=Inputs!$B$21+Configurations!$D$15,"Grid ops"," "))))</f>
        <v>Queue wait</v>
      </c>
      <c r="C10" s="44">
        <f>IF(A10&lt;=Inputs!$B$21,"",A10-Inputs!$B$21-1)</f>
        <v>2</v>
      </c>
      <c r="D10" s="56">
        <f>IF(OR(A10&lt;=Inputs!$B$21,A10&gt;Inputs!$B$21+Configurations!$D$15),0,Configurations!$D$4*Configurations!$D$5*8760*(1-Configurations!$D$6)^C10*Configurations!$D$7*(1-Configurations!$D$8))</f>
        <v>730255.5</v>
      </c>
      <c r="E10" s="55">
        <f ca="1">IF(OR(A10&lt;=Inputs!$B$21,A10&gt;Inputs!$B$21+Configurations!$D$15),0,IF(A10&lt;=Inputs!$B$21+Inputs!$B$5,D10*(1-Inputs!$B$10)*Configurations!$D$16/1000000,D10*Inputs!$B$18/1000000))</f>
        <v>78.754788049135129</v>
      </c>
      <c r="F10" s="55">
        <f ca="1">IF(OR(A10&lt;=Inputs!$B$21,A10&gt;Inputs!$B$21+Configurations!$D$15),0,Configurations!$D$12+Configurations!$D$13+Configurations!$D$14+Inputs!$B$20*E10)</f>
        <v>9.1293218207370277</v>
      </c>
      <c r="G10" s="55">
        <f t="shared" ca="1" si="0"/>
        <v>69.625466228398096</v>
      </c>
      <c r="H10" s="63">
        <f>IF(AND(A10&gt;Inputs!$B$21,A10&lt;=Inputs!$B$21+Inputs!$B$12),Capitalization!G$12,0)</f>
        <v>26.705212189023506</v>
      </c>
      <c r="I10" s="55">
        <f t="shared" ca="1" si="1"/>
        <v>42.920254039374591</v>
      </c>
      <c r="J10" s="64">
        <f ca="1">IF(A10&lt;=Inputs!$B$21,"",IF(AND(A10&lt;=Inputs!$B$22,Capitalization!G$18&gt;0),Inputs!$B$25,Inputs!$B$26))</f>
        <v>0.7</v>
      </c>
      <c r="K10" s="55">
        <f ca="1">IF(A10=0,-Capitalization!G$19,IF(A10&lt;=Inputs!$B$21,0,I10*J10-IF(AND(A10=Inputs!$B$22,Capitalization!G$18&gt;0),Inputs!$B$23,0)))</f>
        <v>30.044177827562212</v>
      </c>
      <c r="L10" s="65">
        <f t="shared" ca="1" si="2"/>
        <v>2.6071864074914881</v>
      </c>
      <c r="M10" s="55">
        <f ca="1">IF(A10=0,-Capitalization!G$4,IF(A10&lt;=Inputs!$B$21,0,G10))</f>
        <v>69.625466228398096</v>
      </c>
    </row>
    <row r="11" spans="1:13" ht="15" customHeight="1" x14ac:dyDescent="0.2">
      <c r="A11" s="44">
        <v>6</v>
      </c>
      <c r="B11" s="44" t="str">
        <f>IF(A11=0,"Equity",IF(A11&lt;=Inputs!$B$21,"Construction",IF(A11&lt;=Inputs!$B$21+Inputs!$B$5,"Queue wait",IF(A11&lt;=Inputs!$B$21+Configurations!$D$15,"Grid ops"," "))))</f>
        <v>Queue wait</v>
      </c>
      <c r="C11" s="44">
        <f>IF(A11&lt;=Inputs!$B$21,"",A11-Inputs!$B$21-1)</f>
        <v>3</v>
      </c>
      <c r="D11" s="56">
        <f>IF(OR(A11&lt;=Inputs!$B$21,A11&gt;Inputs!$B$21+Configurations!$D$15),0,Configurations!$D$4*Configurations!$D$5*8760*(1-Configurations!$D$6)^C11*Configurations!$D$7*(1-Configurations!$D$8))</f>
        <v>730255.5</v>
      </c>
      <c r="E11" s="55">
        <f ca="1">IF(OR(A11&lt;=Inputs!$B$21,A11&gt;Inputs!$B$21+Configurations!$D$15),0,IF(A11&lt;=Inputs!$B$21+Inputs!$B$5,D11*(1-Inputs!$B$10)*Configurations!$D$16/1000000,D11*Inputs!$B$18/1000000))</f>
        <v>78.754788049135129</v>
      </c>
      <c r="F11" s="55">
        <f ca="1">IF(OR(A11&lt;=Inputs!$B$21,A11&gt;Inputs!$B$21+Configurations!$D$15),0,Configurations!$D$12+Configurations!$D$13+Configurations!$D$14+Inputs!$B$20*E11)</f>
        <v>9.1293218207370277</v>
      </c>
      <c r="G11" s="55">
        <f t="shared" ca="1" si="0"/>
        <v>69.625466228398096</v>
      </c>
      <c r="H11" s="63">
        <f>IF(AND(A11&gt;Inputs!$B$21,A11&lt;=Inputs!$B$21+Inputs!$B$12),Capitalization!G$12,0)</f>
        <v>26.705212189023506</v>
      </c>
      <c r="I11" s="55">
        <f t="shared" ca="1" si="1"/>
        <v>42.920254039374591</v>
      </c>
      <c r="J11" s="64">
        <f ca="1">IF(A11&lt;=Inputs!$B$21,"",IF(AND(A11&lt;=Inputs!$B$22,Capitalization!G$18&gt;0),Inputs!$B$25,Inputs!$B$26))</f>
        <v>0.7</v>
      </c>
      <c r="K11" s="55">
        <f ca="1">IF(A11=0,-Capitalization!G$19,IF(A11&lt;=Inputs!$B$21,0,I11*J11-IF(AND(A11=Inputs!$B$22,Capitalization!G$18&gt;0),Inputs!$B$23,0)))</f>
        <v>29.044177827562212</v>
      </c>
      <c r="L11" s="65">
        <f t="shared" ca="1" si="2"/>
        <v>2.6071864074914881</v>
      </c>
      <c r="M11" s="55">
        <f ca="1">IF(A11=0,-Capitalization!G$4,IF(A11&lt;=Inputs!$B$21,0,G11))</f>
        <v>69.625466228398096</v>
      </c>
    </row>
    <row r="12" spans="1:13" ht="15" customHeight="1" x14ac:dyDescent="0.2">
      <c r="A12" s="44">
        <v>7</v>
      </c>
      <c r="B12" s="44" t="str">
        <f>IF(A12=0,"Equity",IF(A12&lt;=Inputs!$B$21,"Construction",IF(A12&lt;=Inputs!$B$21+Inputs!$B$5,"Queue wait",IF(A12&lt;=Inputs!$B$21+Configurations!$D$15,"Grid ops"," "))))</f>
        <v>Grid ops</v>
      </c>
      <c r="C12" s="44">
        <f>IF(A12&lt;=Inputs!$B$21,"",A12-Inputs!$B$21-1)</f>
        <v>4</v>
      </c>
      <c r="D12" s="56">
        <f>IF(OR(A12&lt;=Inputs!$B$21,A12&gt;Inputs!$B$21+Configurations!$D$15),0,Configurations!$D$4*Configurations!$D$5*8760*(1-Configurations!$D$6)^C12*Configurations!$D$7*(1-Configurations!$D$8))</f>
        <v>730255.5</v>
      </c>
      <c r="E12" s="55">
        <f>IF(OR(A12&lt;=Inputs!$B$21,A12&gt;Inputs!$B$21+Configurations!$D$15),0,IF(A12&lt;=Inputs!$B$21+Inputs!$B$5,D12*(1-Inputs!$B$10)*Configurations!$D$16/1000000,D12*Inputs!$B$18/1000000))</f>
        <v>52.578395999999998</v>
      </c>
      <c r="F12" s="55">
        <f>IF(OR(A12&lt;=Inputs!$B$21,A12&gt;Inputs!$B$21+Configurations!$D$15),0,Configurations!$D$12+Configurations!$D$13+Configurations!$D$14+Inputs!$B$20*E12)</f>
        <v>8.7366759399999996</v>
      </c>
      <c r="G12" s="55">
        <f t="shared" si="0"/>
        <v>43.84172006</v>
      </c>
      <c r="H12" s="63">
        <f>IF(AND(A12&gt;Inputs!$B$21,A12&lt;=Inputs!$B$21+Inputs!$B$12),Capitalization!G$12,0)</f>
        <v>26.705212189023506</v>
      </c>
      <c r="I12" s="55">
        <f t="shared" si="1"/>
        <v>17.136507870976494</v>
      </c>
      <c r="J12" s="64">
        <f ca="1">IF(A12&lt;=Inputs!$B$21,"",IF(AND(A12&lt;=Inputs!$B$22,Capitalization!G$18&gt;0),Inputs!$B$25,Inputs!$B$26))</f>
        <v>0.97499999999999998</v>
      </c>
      <c r="K12" s="55">
        <f ca="1">IF(A12=0,-Capitalization!G$19,IF(A12&lt;=Inputs!$B$21,0,I12*J12-IF(AND(A12=Inputs!$B$22,Capitalization!G$18&gt;0),Inputs!$B$23,0)))</f>
        <v>16.708095174202082</v>
      </c>
      <c r="L12" s="65">
        <f t="shared" si="2"/>
        <v>1.6416915076233702</v>
      </c>
      <c r="M12" s="55">
        <f>IF(A12=0,-Capitalization!G$4,IF(A12&lt;=Inputs!$B$21,0,G12))</f>
        <v>43.84172006</v>
      </c>
    </row>
    <row r="13" spans="1:13" ht="15" customHeight="1" x14ac:dyDescent="0.2">
      <c r="A13" s="44">
        <v>8</v>
      </c>
      <c r="B13" s="44" t="str">
        <f>IF(A13=0,"Equity",IF(A13&lt;=Inputs!$B$21,"Construction",IF(A13&lt;=Inputs!$B$21+Inputs!$B$5,"Queue wait",IF(A13&lt;=Inputs!$B$21+Configurations!$D$15,"Grid ops"," "))))</f>
        <v>Grid ops</v>
      </c>
      <c r="C13" s="44">
        <f>IF(A13&lt;=Inputs!$B$21,"",A13-Inputs!$B$21-1)</f>
        <v>5</v>
      </c>
      <c r="D13" s="56">
        <f>IF(OR(A13&lt;=Inputs!$B$21,A13&gt;Inputs!$B$21+Configurations!$D$15),0,Configurations!$D$4*Configurations!$D$5*8760*(1-Configurations!$D$6)^C13*Configurations!$D$7*(1-Configurations!$D$8))</f>
        <v>730255.5</v>
      </c>
      <c r="E13" s="55">
        <f>IF(OR(A13&lt;=Inputs!$B$21,A13&gt;Inputs!$B$21+Configurations!$D$15),0,IF(A13&lt;=Inputs!$B$21+Inputs!$B$5,D13*(1-Inputs!$B$10)*Configurations!$D$16/1000000,D13*Inputs!$B$18/1000000))</f>
        <v>52.578395999999998</v>
      </c>
      <c r="F13" s="55">
        <f>IF(OR(A13&lt;=Inputs!$B$21,A13&gt;Inputs!$B$21+Configurations!$D$15),0,Configurations!$D$12+Configurations!$D$13+Configurations!$D$14+Inputs!$B$20*E13)</f>
        <v>8.7366759399999996</v>
      </c>
      <c r="G13" s="55">
        <f t="shared" si="0"/>
        <v>43.84172006</v>
      </c>
      <c r="H13" s="63">
        <f>IF(AND(A13&gt;Inputs!$B$21,A13&lt;=Inputs!$B$21+Inputs!$B$12),Capitalization!G$12,0)</f>
        <v>26.705212189023506</v>
      </c>
      <c r="I13" s="55">
        <f t="shared" si="1"/>
        <v>17.136507870976494</v>
      </c>
      <c r="J13" s="64">
        <f ca="1">IF(A13&lt;=Inputs!$B$21,"",IF(AND(A13&lt;=Inputs!$B$22,Capitalization!G$18&gt;0),Inputs!$B$25,Inputs!$B$26))</f>
        <v>0.97499999999999998</v>
      </c>
      <c r="K13" s="55">
        <f ca="1">IF(A13=0,-Capitalization!G$19,IF(A13&lt;=Inputs!$B$21,0,I13*J13-IF(AND(A13=Inputs!$B$22,Capitalization!G$18&gt;0),Inputs!$B$23,0)))</f>
        <v>16.708095174202082</v>
      </c>
      <c r="L13" s="65">
        <f t="shared" si="2"/>
        <v>1.6416915076233702</v>
      </c>
      <c r="M13" s="55">
        <f>IF(A13=0,-Capitalization!G$4,IF(A13&lt;=Inputs!$B$21,0,G13))</f>
        <v>43.84172006</v>
      </c>
    </row>
    <row r="14" spans="1:13" ht="15" customHeight="1" x14ac:dyDescent="0.2">
      <c r="A14" s="44">
        <v>9</v>
      </c>
      <c r="B14" s="44" t="str">
        <f>IF(A14=0,"Equity",IF(A14&lt;=Inputs!$B$21,"Construction",IF(A14&lt;=Inputs!$B$21+Inputs!$B$5,"Queue wait",IF(A14&lt;=Inputs!$B$21+Configurations!$D$15,"Grid ops"," "))))</f>
        <v>Grid ops</v>
      </c>
      <c r="C14" s="44">
        <f>IF(A14&lt;=Inputs!$B$21,"",A14-Inputs!$B$21-1)</f>
        <v>6</v>
      </c>
      <c r="D14" s="56">
        <f>IF(OR(A14&lt;=Inputs!$B$21,A14&gt;Inputs!$B$21+Configurations!$D$15),0,Configurations!$D$4*Configurations!$D$5*8760*(1-Configurations!$D$6)^C14*Configurations!$D$7*(1-Configurations!$D$8))</f>
        <v>730255.5</v>
      </c>
      <c r="E14" s="55">
        <f>IF(OR(A14&lt;=Inputs!$B$21,A14&gt;Inputs!$B$21+Configurations!$D$15),0,IF(A14&lt;=Inputs!$B$21+Inputs!$B$5,D14*(1-Inputs!$B$10)*Configurations!$D$16/1000000,D14*Inputs!$B$18/1000000))</f>
        <v>52.578395999999998</v>
      </c>
      <c r="F14" s="55">
        <f>IF(OR(A14&lt;=Inputs!$B$21,A14&gt;Inputs!$B$21+Configurations!$D$15),0,Configurations!$D$12+Configurations!$D$13+Configurations!$D$14+Inputs!$B$20*E14)</f>
        <v>8.7366759399999996</v>
      </c>
      <c r="G14" s="55">
        <f t="shared" si="0"/>
        <v>43.84172006</v>
      </c>
      <c r="H14" s="63">
        <f>IF(AND(A14&gt;Inputs!$B$21,A14&lt;=Inputs!$B$21+Inputs!$B$12),Capitalization!G$12,0)</f>
        <v>26.705212189023506</v>
      </c>
      <c r="I14" s="55">
        <f t="shared" si="1"/>
        <v>17.136507870976494</v>
      </c>
      <c r="J14" s="64">
        <f ca="1">IF(A14&lt;=Inputs!$B$21,"",IF(AND(A14&lt;=Inputs!$B$22,Capitalization!G$18&gt;0),Inputs!$B$25,Inputs!$B$26))</f>
        <v>0.97499999999999998</v>
      </c>
      <c r="K14" s="55">
        <f ca="1">IF(A14=0,-Capitalization!G$19,IF(A14&lt;=Inputs!$B$21,0,I14*J14-IF(AND(A14=Inputs!$B$22,Capitalization!G$18&gt;0),Inputs!$B$23,0)))</f>
        <v>16.708095174202082</v>
      </c>
      <c r="L14" s="65">
        <f t="shared" si="2"/>
        <v>1.6416915076233702</v>
      </c>
      <c r="M14" s="55">
        <f>IF(A14=0,-Capitalization!G$4,IF(A14&lt;=Inputs!$B$21,0,G14))</f>
        <v>43.84172006</v>
      </c>
    </row>
    <row r="15" spans="1:13" ht="15" customHeight="1" x14ac:dyDescent="0.2">
      <c r="A15" s="44">
        <v>10</v>
      </c>
      <c r="B15" s="44" t="str">
        <f>IF(A15=0,"Equity",IF(A15&lt;=Inputs!$B$21,"Construction",IF(A15&lt;=Inputs!$B$21+Inputs!$B$5,"Queue wait",IF(A15&lt;=Inputs!$B$21+Configurations!$D$15,"Grid ops"," "))))</f>
        <v>Grid ops</v>
      </c>
      <c r="C15" s="44">
        <f>IF(A15&lt;=Inputs!$B$21,"",A15-Inputs!$B$21-1)</f>
        <v>7</v>
      </c>
      <c r="D15" s="56">
        <f>IF(OR(A15&lt;=Inputs!$B$21,A15&gt;Inputs!$B$21+Configurations!$D$15),0,Configurations!$D$4*Configurations!$D$5*8760*(1-Configurations!$D$6)^C15*Configurations!$D$7*(1-Configurations!$D$8))</f>
        <v>730255.5</v>
      </c>
      <c r="E15" s="55">
        <f>IF(OR(A15&lt;=Inputs!$B$21,A15&gt;Inputs!$B$21+Configurations!$D$15),0,IF(A15&lt;=Inputs!$B$21+Inputs!$B$5,D15*(1-Inputs!$B$10)*Configurations!$D$16/1000000,D15*Inputs!$B$18/1000000))</f>
        <v>52.578395999999998</v>
      </c>
      <c r="F15" s="55">
        <f>IF(OR(A15&lt;=Inputs!$B$21,A15&gt;Inputs!$B$21+Configurations!$D$15),0,Configurations!$D$12+Configurations!$D$13+Configurations!$D$14+Inputs!$B$20*E15)</f>
        <v>8.7366759399999996</v>
      </c>
      <c r="G15" s="55">
        <f t="shared" si="0"/>
        <v>43.84172006</v>
      </c>
      <c r="H15" s="63">
        <f>IF(AND(A15&gt;Inputs!$B$21,A15&lt;=Inputs!$B$21+Inputs!$B$12),Capitalization!G$12,0)</f>
        <v>26.705212189023506</v>
      </c>
      <c r="I15" s="55">
        <f t="shared" si="1"/>
        <v>17.136507870976494</v>
      </c>
      <c r="J15" s="64">
        <f ca="1">IF(A15&lt;=Inputs!$B$21,"",IF(AND(A15&lt;=Inputs!$B$22,Capitalization!G$18&gt;0),Inputs!$B$25,Inputs!$B$26))</f>
        <v>0.97499999999999998</v>
      </c>
      <c r="K15" s="55">
        <f ca="1">IF(A15=0,-Capitalization!G$19,IF(A15&lt;=Inputs!$B$21,0,I15*J15-IF(AND(A15=Inputs!$B$22,Capitalization!G$18&gt;0),Inputs!$B$23,0)))</f>
        <v>16.708095174202082</v>
      </c>
      <c r="L15" s="65">
        <f t="shared" si="2"/>
        <v>1.6416915076233702</v>
      </c>
      <c r="M15" s="55">
        <f>IF(A15=0,-Capitalization!G$4,IF(A15&lt;=Inputs!$B$21,0,G15))</f>
        <v>43.84172006</v>
      </c>
    </row>
    <row r="16" spans="1:13" ht="15" customHeight="1" x14ac:dyDescent="0.2">
      <c r="A16" s="44">
        <v>11</v>
      </c>
      <c r="B16" s="44" t="str">
        <f>IF(A16=0,"Equity",IF(A16&lt;=Inputs!$B$21,"Construction",IF(A16&lt;=Inputs!$B$21+Inputs!$B$5,"Queue wait",IF(A16&lt;=Inputs!$B$21+Configurations!$D$15,"Grid ops"," "))))</f>
        <v>Grid ops</v>
      </c>
      <c r="C16" s="44">
        <f>IF(A16&lt;=Inputs!$B$21,"",A16-Inputs!$B$21-1)</f>
        <v>8</v>
      </c>
      <c r="D16" s="56">
        <f>IF(OR(A16&lt;=Inputs!$B$21,A16&gt;Inputs!$B$21+Configurations!$D$15),0,Configurations!$D$4*Configurations!$D$5*8760*(1-Configurations!$D$6)^C16*Configurations!$D$7*(1-Configurations!$D$8))</f>
        <v>730255.5</v>
      </c>
      <c r="E16" s="55">
        <f>IF(OR(A16&lt;=Inputs!$B$21,A16&gt;Inputs!$B$21+Configurations!$D$15),0,IF(A16&lt;=Inputs!$B$21+Inputs!$B$5,D16*(1-Inputs!$B$10)*Configurations!$D$16/1000000,D16*Inputs!$B$18/1000000))</f>
        <v>52.578395999999998</v>
      </c>
      <c r="F16" s="55">
        <f>IF(OR(A16&lt;=Inputs!$B$21,A16&gt;Inputs!$B$21+Configurations!$D$15),0,Configurations!$D$12+Configurations!$D$13+Configurations!$D$14+Inputs!$B$20*E16)</f>
        <v>8.7366759399999996</v>
      </c>
      <c r="G16" s="55">
        <f t="shared" si="0"/>
        <v>43.84172006</v>
      </c>
      <c r="H16" s="63">
        <f>IF(AND(A16&gt;Inputs!$B$21,A16&lt;=Inputs!$B$21+Inputs!$B$12),Capitalization!G$12,0)</f>
        <v>26.705212189023506</v>
      </c>
      <c r="I16" s="55">
        <f t="shared" si="1"/>
        <v>17.136507870976494</v>
      </c>
      <c r="J16" s="64">
        <f ca="1">IF(A16&lt;=Inputs!$B$21,"",IF(AND(A16&lt;=Inputs!$B$22,Capitalization!G$18&gt;0),Inputs!$B$25,Inputs!$B$26))</f>
        <v>0.97499999999999998</v>
      </c>
      <c r="K16" s="55">
        <f ca="1">IF(A16=0,-Capitalization!G$19,IF(A16&lt;=Inputs!$B$21,0,I16*J16-IF(AND(A16=Inputs!$B$22,Capitalization!G$18&gt;0),Inputs!$B$23,0)))</f>
        <v>16.708095174202082</v>
      </c>
      <c r="L16" s="65">
        <f t="shared" si="2"/>
        <v>1.6416915076233702</v>
      </c>
      <c r="M16" s="55">
        <f>IF(A16=0,-Capitalization!G$4,IF(A16&lt;=Inputs!$B$21,0,G16))</f>
        <v>43.84172006</v>
      </c>
    </row>
    <row r="17" spans="1:13" ht="15" customHeight="1" x14ac:dyDescent="0.2">
      <c r="A17" s="44">
        <v>12</v>
      </c>
      <c r="B17" s="44" t="str">
        <f>IF(A17=0,"Equity",IF(A17&lt;=Inputs!$B$21,"Construction",IF(A17&lt;=Inputs!$B$21+Inputs!$B$5,"Queue wait",IF(A17&lt;=Inputs!$B$21+Configurations!$D$15,"Grid ops"," "))))</f>
        <v>Grid ops</v>
      </c>
      <c r="C17" s="44">
        <f>IF(A17&lt;=Inputs!$B$21,"",A17-Inputs!$B$21-1)</f>
        <v>9</v>
      </c>
      <c r="D17" s="56">
        <f>IF(OR(A17&lt;=Inputs!$B$21,A17&gt;Inputs!$B$21+Configurations!$D$15),0,Configurations!$D$4*Configurations!$D$5*8760*(1-Configurations!$D$6)^C17*Configurations!$D$7*(1-Configurations!$D$8))</f>
        <v>730255.5</v>
      </c>
      <c r="E17" s="55">
        <f>IF(OR(A17&lt;=Inputs!$B$21,A17&gt;Inputs!$B$21+Configurations!$D$15),0,IF(A17&lt;=Inputs!$B$21+Inputs!$B$5,D17*(1-Inputs!$B$10)*Configurations!$D$16/1000000,D17*Inputs!$B$18/1000000))</f>
        <v>52.578395999999998</v>
      </c>
      <c r="F17" s="55">
        <f>IF(OR(A17&lt;=Inputs!$B$21,A17&gt;Inputs!$B$21+Configurations!$D$15),0,Configurations!$D$12+Configurations!$D$13+Configurations!$D$14+Inputs!$B$20*E17)</f>
        <v>8.7366759399999996</v>
      </c>
      <c r="G17" s="55">
        <f t="shared" si="0"/>
        <v>43.84172006</v>
      </c>
      <c r="H17" s="63">
        <f>IF(AND(A17&gt;Inputs!$B$21,A17&lt;=Inputs!$B$21+Inputs!$B$12),Capitalization!G$12,0)</f>
        <v>26.705212189023506</v>
      </c>
      <c r="I17" s="55">
        <f t="shared" si="1"/>
        <v>17.136507870976494</v>
      </c>
      <c r="J17" s="64">
        <f ca="1">IF(A17&lt;=Inputs!$B$21,"",IF(AND(A17&lt;=Inputs!$B$22,Capitalization!G$18&gt;0),Inputs!$B$25,Inputs!$B$26))</f>
        <v>0.97499999999999998</v>
      </c>
      <c r="K17" s="55">
        <f ca="1">IF(A17=0,-Capitalization!G$19,IF(A17&lt;=Inputs!$B$21,0,I17*J17-IF(AND(A17=Inputs!$B$22,Capitalization!G$18&gt;0),Inputs!$B$23,0)))</f>
        <v>16.708095174202082</v>
      </c>
      <c r="L17" s="65">
        <f t="shared" si="2"/>
        <v>1.6416915076233702</v>
      </c>
      <c r="M17" s="55">
        <f>IF(A17=0,-Capitalization!G$4,IF(A17&lt;=Inputs!$B$21,0,G17))</f>
        <v>43.84172006</v>
      </c>
    </row>
    <row r="18" spans="1:13" ht="15" customHeight="1" x14ac:dyDescent="0.2">
      <c r="A18" s="44">
        <v>13</v>
      </c>
      <c r="B18" s="44" t="str">
        <f>IF(A18=0,"Equity",IF(A18&lt;=Inputs!$B$21,"Construction",IF(A18&lt;=Inputs!$B$21+Inputs!$B$5,"Queue wait",IF(A18&lt;=Inputs!$B$21+Configurations!$D$15,"Grid ops"," "))))</f>
        <v>Grid ops</v>
      </c>
      <c r="C18" s="44">
        <f>IF(A18&lt;=Inputs!$B$21,"",A18-Inputs!$B$21-1)</f>
        <v>10</v>
      </c>
      <c r="D18" s="56">
        <f>IF(OR(A18&lt;=Inputs!$B$21,A18&gt;Inputs!$B$21+Configurations!$D$15),0,Configurations!$D$4*Configurations!$D$5*8760*(1-Configurations!$D$6)^C18*Configurations!$D$7*(1-Configurations!$D$8))</f>
        <v>730255.5</v>
      </c>
      <c r="E18" s="55">
        <f>IF(OR(A18&lt;=Inputs!$B$21,A18&gt;Inputs!$B$21+Configurations!$D$15),0,IF(A18&lt;=Inputs!$B$21+Inputs!$B$5,D18*(1-Inputs!$B$10)*Configurations!$D$16/1000000,D18*Inputs!$B$18/1000000))</f>
        <v>52.578395999999998</v>
      </c>
      <c r="F18" s="55">
        <f>IF(OR(A18&lt;=Inputs!$B$21,A18&gt;Inputs!$B$21+Configurations!$D$15),0,Configurations!$D$12+Configurations!$D$13+Configurations!$D$14+Inputs!$B$20*E18)</f>
        <v>8.7366759399999996</v>
      </c>
      <c r="G18" s="55">
        <f t="shared" si="0"/>
        <v>43.84172006</v>
      </c>
      <c r="H18" s="63">
        <f>IF(AND(A18&gt;Inputs!$B$21,A18&lt;=Inputs!$B$21+Inputs!$B$12),Capitalization!G$12,0)</f>
        <v>26.705212189023506</v>
      </c>
      <c r="I18" s="55">
        <f t="shared" si="1"/>
        <v>17.136507870976494</v>
      </c>
      <c r="J18" s="64">
        <f ca="1">IF(A18&lt;=Inputs!$B$21,"",IF(AND(A18&lt;=Inputs!$B$22,Capitalization!G$18&gt;0),Inputs!$B$25,Inputs!$B$26))</f>
        <v>0.97499999999999998</v>
      </c>
      <c r="K18" s="55">
        <f ca="1">IF(A18=0,-Capitalization!G$19,IF(A18&lt;=Inputs!$B$21,0,I18*J18-IF(AND(A18=Inputs!$B$22,Capitalization!G$18&gt;0),Inputs!$B$23,0)))</f>
        <v>16.708095174202082</v>
      </c>
      <c r="L18" s="65">
        <f t="shared" si="2"/>
        <v>1.6416915076233702</v>
      </c>
      <c r="M18" s="55">
        <f>IF(A18=0,-Capitalization!G$4,IF(A18&lt;=Inputs!$B$21,0,G18))</f>
        <v>43.84172006</v>
      </c>
    </row>
    <row r="19" spans="1:13" ht="15" customHeight="1" x14ac:dyDescent="0.2">
      <c r="A19" s="44">
        <v>14</v>
      </c>
      <c r="B19" s="44" t="str">
        <f>IF(A19=0,"Equity",IF(A19&lt;=Inputs!$B$21,"Construction",IF(A19&lt;=Inputs!$B$21+Inputs!$B$5,"Queue wait",IF(A19&lt;=Inputs!$B$21+Configurations!$D$15,"Grid ops"," "))))</f>
        <v>Grid ops</v>
      </c>
      <c r="C19" s="44">
        <f>IF(A19&lt;=Inputs!$B$21,"",A19-Inputs!$B$21-1)</f>
        <v>11</v>
      </c>
      <c r="D19" s="56">
        <f>IF(OR(A19&lt;=Inputs!$B$21,A19&gt;Inputs!$B$21+Configurations!$D$15),0,Configurations!$D$4*Configurations!$D$5*8760*(1-Configurations!$D$6)^C19*Configurations!$D$7*(1-Configurations!$D$8))</f>
        <v>730255.5</v>
      </c>
      <c r="E19" s="55">
        <f>IF(OR(A19&lt;=Inputs!$B$21,A19&gt;Inputs!$B$21+Configurations!$D$15),0,IF(A19&lt;=Inputs!$B$21+Inputs!$B$5,D19*(1-Inputs!$B$10)*Configurations!$D$16/1000000,D19*Inputs!$B$18/1000000))</f>
        <v>52.578395999999998</v>
      </c>
      <c r="F19" s="55">
        <f>IF(OR(A19&lt;=Inputs!$B$21,A19&gt;Inputs!$B$21+Configurations!$D$15),0,Configurations!$D$12+Configurations!$D$13+Configurations!$D$14+Inputs!$B$20*E19)</f>
        <v>8.7366759399999996</v>
      </c>
      <c r="G19" s="55">
        <f t="shared" si="0"/>
        <v>43.84172006</v>
      </c>
      <c r="H19" s="63">
        <f>IF(AND(A19&gt;Inputs!$B$21,A19&lt;=Inputs!$B$21+Inputs!$B$12),Capitalization!G$12,0)</f>
        <v>26.705212189023506</v>
      </c>
      <c r="I19" s="55">
        <f t="shared" si="1"/>
        <v>17.136507870976494</v>
      </c>
      <c r="J19" s="64">
        <f ca="1">IF(A19&lt;=Inputs!$B$21,"",IF(AND(A19&lt;=Inputs!$B$22,Capitalization!G$18&gt;0),Inputs!$B$25,Inputs!$B$26))</f>
        <v>0.97499999999999998</v>
      </c>
      <c r="K19" s="55">
        <f ca="1">IF(A19=0,-Capitalization!G$19,IF(A19&lt;=Inputs!$B$21,0,I19*J19-IF(AND(A19=Inputs!$B$22,Capitalization!G$18&gt;0),Inputs!$B$23,0)))</f>
        <v>16.708095174202082</v>
      </c>
      <c r="L19" s="65">
        <f t="shared" si="2"/>
        <v>1.6416915076233702</v>
      </c>
      <c r="M19" s="55">
        <f>IF(A19=0,-Capitalization!G$4,IF(A19&lt;=Inputs!$B$21,0,G19))</f>
        <v>43.84172006</v>
      </c>
    </row>
    <row r="20" spans="1:13" ht="15" customHeight="1" x14ac:dyDescent="0.2">
      <c r="A20" s="44">
        <v>15</v>
      </c>
      <c r="B20" s="44" t="str">
        <f>IF(A20=0,"Equity",IF(A20&lt;=Inputs!$B$21,"Construction",IF(A20&lt;=Inputs!$B$21+Inputs!$B$5,"Queue wait",IF(A20&lt;=Inputs!$B$21+Configurations!$D$15,"Grid ops"," "))))</f>
        <v>Grid ops</v>
      </c>
      <c r="C20" s="44">
        <f>IF(A20&lt;=Inputs!$B$21,"",A20-Inputs!$B$21-1)</f>
        <v>12</v>
      </c>
      <c r="D20" s="56">
        <f>IF(OR(A20&lt;=Inputs!$B$21,A20&gt;Inputs!$B$21+Configurations!$D$15),0,Configurations!$D$4*Configurations!$D$5*8760*(1-Configurations!$D$6)^C20*Configurations!$D$7*(1-Configurations!$D$8))</f>
        <v>730255.5</v>
      </c>
      <c r="E20" s="55">
        <f>IF(OR(A20&lt;=Inputs!$B$21,A20&gt;Inputs!$B$21+Configurations!$D$15),0,IF(A20&lt;=Inputs!$B$21+Inputs!$B$5,D20*(1-Inputs!$B$10)*Configurations!$D$16/1000000,D20*Inputs!$B$18/1000000))</f>
        <v>52.578395999999998</v>
      </c>
      <c r="F20" s="55">
        <f>IF(OR(A20&lt;=Inputs!$B$21,A20&gt;Inputs!$B$21+Configurations!$D$15),0,Configurations!$D$12+Configurations!$D$13+Configurations!$D$14+Inputs!$B$20*E20)</f>
        <v>8.7366759399999996</v>
      </c>
      <c r="G20" s="55">
        <f t="shared" si="0"/>
        <v>43.84172006</v>
      </c>
      <c r="H20" s="63">
        <f>IF(AND(A20&gt;Inputs!$B$21,A20&lt;=Inputs!$B$21+Inputs!$B$12),Capitalization!G$12,0)</f>
        <v>26.705212189023506</v>
      </c>
      <c r="I20" s="55">
        <f t="shared" si="1"/>
        <v>17.136507870976494</v>
      </c>
      <c r="J20" s="64">
        <f ca="1">IF(A20&lt;=Inputs!$B$21,"",IF(AND(A20&lt;=Inputs!$B$22,Capitalization!G$18&gt;0),Inputs!$B$25,Inputs!$B$26))</f>
        <v>0.97499999999999998</v>
      </c>
      <c r="K20" s="55">
        <f ca="1">IF(A20=0,-Capitalization!G$19,IF(A20&lt;=Inputs!$B$21,0,I20*J20-IF(AND(A20=Inputs!$B$22,Capitalization!G$18&gt;0),Inputs!$B$23,0)))</f>
        <v>16.708095174202082</v>
      </c>
      <c r="L20" s="65">
        <f t="shared" si="2"/>
        <v>1.6416915076233702</v>
      </c>
      <c r="M20" s="55">
        <f>IF(A20=0,-Capitalization!G$4,IF(A20&lt;=Inputs!$B$21,0,G20))</f>
        <v>43.84172006</v>
      </c>
    </row>
    <row r="21" spans="1:13" ht="15" customHeight="1" x14ac:dyDescent="0.2">
      <c r="A21" s="44">
        <v>16</v>
      </c>
      <c r="B21" s="44" t="str">
        <f>IF(A21=0,"Equity",IF(A21&lt;=Inputs!$B$21,"Construction",IF(A21&lt;=Inputs!$B$21+Inputs!$B$5,"Queue wait",IF(A21&lt;=Inputs!$B$21+Configurations!$D$15,"Grid ops"," "))))</f>
        <v>Grid ops</v>
      </c>
      <c r="C21" s="44">
        <f>IF(A21&lt;=Inputs!$B$21,"",A21-Inputs!$B$21-1)</f>
        <v>13</v>
      </c>
      <c r="D21" s="56">
        <f>IF(OR(A21&lt;=Inputs!$B$21,A21&gt;Inputs!$B$21+Configurations!$D$15),0,Configurations!$D$4*Configurations!$D$5*8760*(1-Configurations!$D$6)^C21*Configurations!$D$7*(1-Configurations!$D$8))</f>
        <v>730255.5</v>
      </c>
      <c r="E21" s="55">
        <f>IF(OR(A21&lt;=Inputs!$B$21,A21&gt;Inputs!$B$21+Configurations!$D$15),0,IF(A21&lt;=Inputs!$B$21+Inputs!$B$5,D21*(1-Inputs!$B$10)*Configurations!$D$16/1000000,D21*Inputs!$B$18/1000000))</f>
        <v>52.578395999999998</v>
      </c>
      <c r="F21" s="55">
        <f>IF(OR(A21&lt;=Inputs!$B$21,A21&gt;Inputs!$B$21+Configurations!$D$15),0,Configurations!$D$12+Configurations!$D$13+Configurations!$D$14+Inputs!$B$20*E21)</f>
        <v>8.7366759399999996</v>
      </c>
      <c r="G21" s="55">
        <f t="shared" si="0"/>
        <v>43.84172006</v>
      </c>
      <c r="H21" s="63">
        <f>IF(AND(A21&gt;Inputs!$B$21,A21&lt;=Inputs!$B$21+Inputs!$B$12),Capitalization!G$12,0)</f>
        <v>26.705212189023506</v>
      </c>
      <c r="I21" s="55">
        <f t="shared" si="1"/>
        <v>17.136507870976494</v>
      </c>
      <c r="J21" s="64">
        <f ca="1">IF(A21&lt;=Inputs!$B$21,"",IF(AND(A21&lt;=Inputs!$B$22,Capitalization!G$18&gt;0),Inputs!$B$25,Inputs!$B$26))</f>
        <v>0.97499999999999998</v>
      </c>
      <c r="K21" s="55">
        <f ca="1">IF(A21=0,-Capitalization!G$19,IF(A21&lt;=Inputs!$B$21,0,I21*J21-IF(AND(A21=Inputs!$B$22,Capitalization!G$18&gt;0),Inputs!$B$23,0)))</f>
        <v>16.708095174202082</v>
      </c>
      <c r="L21" s="65">
        <f t="shared" si="2"/>
        <v>1.6416915076233702</v>
      </c>
      <c r="M21" s="55">
        <f>IF(A21=0,-Capitalization!G$4,IF(A21&lt;=Inputs!$B$21,0,G21))</f>
        <v>43.84172006</v>
      </c>
    </row>
    <row r="22" spans="1:13" ht="15" customHeight="1" x14ac:dyDescent="0.2">
      <c r="A22" s="44">
        <v>17</v>
      </c>
      <c r="B22" s="44" t="str">
        <f>IF(A22=0,"Equity",IF(A22&lt;=Inputs!$B$21,"Construction",IF(A22&lt;=Inputs!$B$21+Inputs!$B$5,"Queue wait",IF(A22&lt;=Inputs!$B$21+Configurations!$D$15,"Grid ops"," "))))</f>
        <v>Grid ops</v>
      </c>
      <c r="C22" s="44">
        <f>IF(A22&lt;=Inputs!$B$21,"",A22-Inputs!$B$21-1)</f>
        <v>14</v>
      </c>
      <c r="D22" s="56">
        <f>IF(OR(A22&lt;=Inputs!$B$21,A22&gt;Inputs!$B$21+Configurations!$D$15),0,Configurations!$D$4*Configurations!$D$5*8760*(1-Configurations!$D$6)^C22*Configurations!$D$7*(1-Configurations!$D$8))</f>
        <v>730255.5</v>
      </c>
      <c r="E22" s="55">
        <f>IF(OR(A22&lt;=Inputs!$B$21,A22&gt;Inputs!$B$21+Configurations!$D$15),0,IF(A22&lt;=Inputs!$B$21+Inputs!$B$5,D22*(1-Inputs!$B$10)*Configurations!$D$16/1000000,D22*Inputs!$B$18/1000000))</f>
        <v>52.578395999999998</v>
      </c>
      <c r="F22" s="55">
        <f>IF(OR(A22&lt;=Inputs!$B$21,A22&gt;Inputs!$B$21+Configurations!$D$15),0,Configurations!$D$12+Configurations!$D$13+Configurations!$D$14+Inputs!$B$20*E22)</f>
        <v>8.7366759399999996</v>
      </c>
      <c r="G22" s="55">
        <f t="shared" si="0"/>
        <v>43.84172006</v>
      </c>
      <c r="H22" s="63">
        <f>IF(AND(A22&gt;Inputs!$B$21,A22&lt;=Inputs!$B$21+Inputs!$B$12),Capitalization!G$12,0)</f>
        <v>26.705212189023506</v>
      </c>
      <c r="I22" s="55">
        <f t="shared" si="1"/>
        <v>17.136507870976494</v>
      </c>
      <c r="J22" s="64">
        <f ca="1">IF(A22&lt;=Inputs!$B$21,"",IF(AND(A22&lt;=Inputs!$B$22,Capitalization!G$18&gt;0),Inputs!$B$25,Inputs!$B$26))</f>
        <v>0.97499999999999998</v>
      </c>
      <c r="K22" s="55">
        <f ca="1">IF(A22=0,-Capitalization!G$19,IF(A22&lt;=Inputs!$B$21,0,I22*J22-IF(AND(A22=Inputs!$B$22,Capitalization!G$18&gt;0),Inputs!$B$23,0)))</f>
        <v>16.708095174202082</v>
      </c>
      <c r="L22" s="65">
        <f t="shared" si="2"/>
        <v>1.6416915076233702</v>
      </c>
      <c r="M22" s="55">
        <f>IF(A22=0,-Capitalization!G$4,IF(A22&lt;=Inputs!$B$21,0,G22))</f>
        <v>43.84172006</v>
      </c>
    </row>
    <row r="23" spans="1:13" ht="15" customHeight="1" x14ac:dyDescent="0.2">
      <c r="A23" s="44">
        <v>18</v>
      </c>
      <c r="B23" s="44" t="str">
        <f>IF(A23=0,"Equity",IF(A23&lt;=Inputs!$B$21,"Construction",IF(A23&lt;=Inputs!$B$21+Inputs!$B$5,"Queue wait",IF(A23&lt;=Inputs!$B$21+Configurations!$D$15,"Grid ops"," "))))</f>
        <v>Grid ops</v>
      </c>
      <c r="C23" s="44">
        <f>IF(A23&lt;=Inputs!$B$21,"",A23-Inputs!$B$21-1)</f>
        <v>15</v>
      </c>
      <c r="D23" s="56">
        <f>IF(OR(A23&lt;=Inputs!$B$21,A23&gt;Inputs!$B$21+Configurations!$D$15),0,Configurations!$D$4*Configurations!$D$5*8760*(1-Configurations!$D$6)^C23*Configurations!$D$7*(1-Configurations!$D$8))</f>
        <v>730255.5</v>
      </c>
      <c r="E23" s="55">
        <f>IF(OR(A23&lt;=Inputs!$B$21,A23&gt;Inputs!$B$21+Configurations!$D$15),0,IF(A23&lt;=Inputs!$B$21+Inputs!$B$5,D23*(1-Inputs!$B$10)*Configurations!$D$16/1000000,D23*Inputs!$B$18/1000000))</f>
        <v>52.578395999999998</v>
      </c>
      <c r="F23" s="55">
        <f>IF(OR(A23&lt;=Inputs!$B$21,A23&gt;Inputs!$B$21+Configurations!$D$15),0,Configurations!$D$12+Configurations!$D$13+Configurations!$D$14+Inputs!$B$20*E23)</f>
        <v>8.7366759399999996</v>
      </c>
      <c r="G23" s="55">
        <f t="shared" si="0"/>
        <v>43.84172006</v>
      </c>
      <c r="H23" s="63">
        <f>IF(AND(A23&gt;Inputs!$B$21,A23&lt;=Inputs!$B$21+Inputs!$B$12),Capitalization!G$12,0)</f>
        <v>26.705212189023506</v>
      </c>
      <c r="I23" s="55">
        <f t="shared" si="1"/>
        <v>17.136507870976494</v>
      </c>
      <c r="J23" s="64">
        <f ca="1">IF(A23&lt;=Inputs!$B$21,"",IF(AND(A23&lt;=Inputs!$B$22,Capitalization!G$18&gt;0),Inputs!$B$25,Inputs!$B$26))</f>
        <v>0.97499999999999998</v>
      </c>
      <c r="K23" s="55">
        <f ca="1">IF(A23=0,-Capitalization!G$19,IF(A23&lt;=Inputs!$B$21,0,I23*J23-IF(AND(A23=Inputs!$B$22,Capitalization!G$18&gt;0),Inputs!$B$23,0)))</f>
        <v>16.708095174202082</v>
      </c>
      <c r="L23" s="65">
        <f t="shared" si="2"/>
        <v>1.6416915076233702</v>
      </c>
      <c r="M23" s="55">
        <f>IF(A23=0,-Capitalization!G$4,IF(A23&lt;=Inputs!$B$21,0,G23))</f>
        <v>43.84172006</v>
      </c>
    </row>
    <row r="24" spans="1:13" ht="15" customHeight="1" x14ac:dyDescent="0.2">
      <c r="A24" s="44">
        <v>19</v>
      </c>
      <c r="B24" s="44" t="str">
        <f>IF(A24=0,"Equity",IF(A24&lt;=Inputs!$B$21,"Construction",IF(A24&lt;=Inputs!$B$21+Inputs!$B$5,"Queue wait",IF(A24&lt;=Inputs!$B$21+Configurations!$D$15,"Grid ops"," "))))</f>
        <v>Grid ops</v>
      </c>
      <c r="C24" s="44">
        <f>IF(A24&lt;=Inputs!$B$21,"",A24-Inputs!$B$21-1)</f>
        <v>16</v>
      </c>
      <c r="D24" s="56">
        <f>IF(OR(A24&lt;=Inputs!$B$21,A24&gt;Inputs!$B$21+Configurations!$D$15),0,Configurations!$D$4*Configurations!$D$5*8760*(1-Configurations!$D$6)^C24*Configurations!$D$7*(1-Configurations!$D$8))</f>
        <v>730255.5</v>
      </c>
      <c r="E24" s="55">
        <f>IF(OR(A24&lt;=Inputs!$B$21,A24&gt;Inputs!$B$21+Configurations!$D$15),0,IF(A24&lt;=Inputs!$B$21+Inputs!$B$5,D24*(1-Inputs!$B$10)*Configurations!$D$16/1000000,D24*Inputs!$B$18/1000000))</f>
        <v>52.578395999999998</v>
      </c>
      <c r="F24" s="55">
        <f>IF(OR(A24&lt;=Inputs!$B$21,A24&gt;Inputs!$B$21+Configurations!$D$15),0,Configurations!$D$12+Configurations!$D$13+Configurations!$D$14+Inputs!$B$20*E24)</f>
        <v>8.7366759399999996</v>
      </c>
      <c r="G24" s="55">
        <f t="shared" si="0"/>
        <v>43.84172006</v>
      </c>
      <c r="H24" s="63">
        <f>IF(AND(A24&gt;Inputs!$B$21,A24&lt;=Inputs!$B$21+Inputs!$B$12),Capitalization!G$12,0)</f>
        <v>26.705212189023506</v>
      </c>
      <c r="I24" s="55">
        <f t="shared" si="1"/>
        <v>17.136507870976494</v>
      </c>
      <c r="J24" s="64">
        <f ca="1">IF(A24&lt;=Inputs!$B$21,"",IF(AND(A24&lt;=Inputs!$B$22,Capitalization!G$18&gt;0),Inputs!$B$25,Inputs!$B$26))</f>
        <v>0.97499999999999998</v>
      </c>
      <c r="K24" s="55">
        <f ca="1">IF(A24=0,-Capitalization!G$19,IF(A24&lt;=Inputs!$B$21,0,I24*J24-IF(AND(A24=Inputs!$B$22,Capitalization!G$18&gt;0),Inputs!$B$23,0)))</f>
        <v>16.708095174202082</v>
      </c>
      <c r="L24" s="65">
        <f t="shared" si="2"/>
        <v>1.6416915076233702</v>
      </c>
      <c r="M24" s="55">
        <f>IF(A24=0,-Capitalization!G$4,IF(A24&lt;=Inputs!$B$21,0,G24))</f>
        <v>43.84172006</v>
      </c>
    </row>
    <row r="25" spans="1:13" ht="15" customHeight="1" x14ac:dyDescent="0.2">
      <c r="A25" s="44">
        <v>20</v>
      </c>
      <c r="B25" s="44" t="str">
        <f>IF(A25=0,"Equity",IF(A25&lt;=Inputs!$B$21,"Construction",IF(A25&lt;=Inputs!$B$21+Inputs!$B$5,"Queue wait",IF(A25&lt;=Inputs!$B$21+Configurations!$D$15,"Grid ops"," "))))</f>
        <v>Grid ops</v>
      </c>
      <c r="C25" s="44">
        <f>IF(A25&lt;=Inputs!$B$21,"",A25-Inputs!$B$21-1)</f>
        <v>17</v>
      </c>
      <c r="D25" s="56">
        <f>IF(OR(A25&lt;=Inputs!$B$21,A25&gt;Inputs!$B$21+Configurations!$D$15),0,Configurations!$D$4*Configurations!$D$5*8760*(1-Configurations!$D$6)^C25*Configurations!$D$7*(1-Configurations!$D$8))</f>
        <v>730255.5</v>
      </c>
      <c r="E25" s="55">
        <f>IF(OR(A25&lt;=Inputs!$B$21,A25&gt;Inputs!$B$21+Configurations!$D$15),0,IF(A25&lt;=Inputs!$B$21+Inputs!$B$5,D25*(1-Inputs!$B$10)*Configurations!$D$16/1000000,D25*Inputs!$B$18/1000000))</f>
        <v>52.578395999999998</v>
      </c>
      <c r="F25" s="55">
        <f>IF(OR(A25&lt;=Inputs!$B$21,A25&gt;Inputs!$B$21+Configurations!$D$15),0,Configurations!$D$12+Configurations!$D$13+Configurations!$D$14+Inputs!$B$20*E25)</f>
        <v>8.7366759399999996</v>
      </c>
      <c r="G25" s="55">
        <f t="shared" si="0"/>
        <v>43.84172006</v>
      </c>
      <c r="H25" s="63">
        <f>IF(AND(A25&gt;Inputs!$B$21,A25&lt;=Inputs!$B$21+Inputs!$B$12),Capitalization!G$12,0)</f>
        <v>26.705212189023506</v>
      </c>
      <c r="I25" s="55">
        <f t="shared" si="1"/>
        <v>17.136507870976494</v>
      </c>
      <c r="J25" s="64">
        <f ca="1">IF(A25&lt;=Inputs!$B$21,"",IF(AND(A25&lt;=Inputs!$B$22,Capitalization!G$18&gt;0),Inputs!$B$25,Inputs!$B$26))</f>
        <v>0.97499999999999998</v>
      </c>
      <c r="K25" s="55">
        <f ca="1">IF(A25=0,-Capitalization!G$19,IF(A25&lt;=Inputs!$B$21,0,I25*J25-IF(AND(A25=Inputs!$B$22,Capitalization!G$18&gt;0),Inputs!$B$23,0)))</f>
        <v>16.708095174202082</v>
      </c>
      <c r="L25" s="65">
        <f t="shared" si="2"/>
        <v>1.6416915076233702</v>
      </c>
      <c r="M25" s="55">
        <f>IF(A25=0,-Capitalization!G$4,IF(A25&lt;=Inputs!$B$21,0,G25))</f>
        <v>43.84172006</v>
      </c>
    </row>
    <row r="26" spans="1:13" ht="15" customHeight="1" x14ac:dyDescent="0.2">
      <c r="A26" s="44">
        <v>21</v>
      </c>
      <c r="B26" s="44" t="str">
        <f>IF(A26=0,"Equity",IF(A26&lt;=Inputs!$B$21,"Construction",IF(A26&lt;=Inputs!$B$21+Inputs!$B$5,"Queue wait",IF(A26&lt;=Inputs!$B$21+Configurations!$D$15,"Grid ops"," "))))</f>
        <v>Grid ops</v>
      </c>
      <c r="C26" s="44">
        <f>IF(A26&lt;=Inputs!$B$21,"",A26-Inputs!$B$21-1)</f>
        <v>18</v>
      </c>
      <c r="D26" s="56">
        <f>IF(OR(A26&lt;=Inputs!$B$21,A26&gt;Inputs!$B$21+Configurations!$D$15),0,Configurations!$D$4*Configurations!$D$5*8760*(1-Configurations!$D$6)^C26*Configurations!$D$7*(1-Configurations!$D$8))</f>
        <v>730255.5</v>
      </c>
      <c r="E26" s="55">
        <f>IF(OR(A26&lt;=Inputs!$B$21,A26&gt;Inputs!$B$21+Configurations!$D$15),0,IF(A26&lt;=Inputs!$B$21+Inputs!$B$5,D26*(1-Inputs!$B$10)*Configurations!$D$16/1000000,D26*Inputs!$B$18/1000000))</f>
        <v>52.578395999999998</v>
      </c>
      <c r="F26" s="55">
        <f>IF(OR(A26&lt;=Inputs!$B$21,A26&gt;Inputs!$B$21+Configurations!$D$15),0,Configurations!$D$12+Configurations!$D$13+Configurations!$D$14+Inputs!$B$20*E26)</f>
        <v>8.7366759399999996</v>
      </c>
      <c r="G26" s="55">
        <f t="shared" si="0"/>
        <v>43.84172006</v>
      </c>
      <c r="H26" s="63">
        <f>IF(AND(A26&gt;Inputs!$B$21,A26&lt;=Inputs!$B$21+Inputs!$B$12),Capitalization!G$12,0)</f>
        <v>26.705212189023506</v>
      </c>
      <c r="I26" s="55">
        <f t="shared" si="1"/>
        <v>17.136507870976494</v>
      </c>
      <c r="J26" s="64">
        <f ca="1">IF(A26&lt;=Inputs!$B$21,"",IF(AND(A26&lt;=Inputs!$B$22,Capitalization!G$18&gt;0),Inputs!$B$25,Inputs!$B$26))</f>
        <v>0.97499999999999998</v>
      </c>
      <c r="K26" s="55">
        <f ca="1">IF(A26=0,-Capitalization!G$19,IF(A26&lt;=Inputs!$B$21,0,I26*J26-IF(AND(A26=Inputs!$B$22,Capitalization!G$18&gt;0),Inputs!$B$23,0)))</f>
        <v>16.708095174202082</v>
      </c>
      <c r="L26" s="65">
        <f t="shared" si="2"/>
        <v>1.6416915076233702</v>
      </c>
      <c r="M26" s="55">
        <f>IF(A26=0,-Capitalization!G$4,IF(A26&lt;=Inputs!$B$21,0,G26))</f>
        <v>43.84172006</v>
      </c>
    </row>
    <row r="27" spans="1:13" ht="15" customHeight="1" x14ac:dyDescent="0.2">
      <c r="A27" s="44">
        <v>22</v>
      </c>
      <c r="B27" s="44" t="str">
        <f>IF(A27=0,"Equity",IF(A27&lt;=Inputs!$B$21,"Construction",IF(A27&lt;=Inputs!$B$21+Inputs!$B$5,"Queue wait",IF(A27&lt;=Inputs!$B$21+Configurations!$D$15,"Grid ops"," "))))</f>
        <v>Grid ops</v>
      </c>
      <c r="C27" s="44">
        <f>IF(A27&lt;=Inputs!$B$21,"",A27-Inputs!$B$21-1)</f>
        <v>19</v>
      </c>
      <c r="D27" s="56">
        <f>IF(OR(A27&lt;=Inputs!$B$21,A27&gt;Inputs!$B$21+Configurations!$D$15),0,Configurations!$D$4*Configurations!$D$5*8760*(1-Configurations!$D$6)^C27*Configurations!$D$7*(1-Configurations!$D$8))</f>
        <v>730255.5</v>
      </c>
      <c r="E27" s="55">
        <f>IF(OR(A27&lt;=Inputs!$B$21,A27&gt;Inputs!$B$21+Configurations!$D$15),0,IF(A27&lt;=Inputs!$B$21+Inputs!$B$5,D27*(1-Inputs!$B$10)*Configurations!$D$16/1000000,D27*Inputs!$B$18/1000000))</f>
        <v>52.578395999999998</v>
      </c>
      <c r="F27" s="55">
        <f>IF(OR(A27&lt;=Inputs!$B$21,A27&gt;Inputs!$B$21+Configurations!$D$15),0,Configurations!$D$12+Configurations!$D$13+Configurations!$D$14+Inputs!$B$20*E27)</f>
        <v>8.7366759399999996</v>
      </c>
      <c r="G27" s="55">
        <f t="shared" si="0"/>
        <v>43.84172006</v>
      </c>
      <c r="H27" s="63">
        <f>IF(AND(A27&gt;Inputs!$B$21,A27&lt;=Inputs!$B$21+Inputs!$B$12),Capitalization!G$12,0)</f>
        <v>26.705212189023506</v>
      </c>
      <c r="I27" s="55">
        <f t="shared" si="1"/>
        <v>17.136507870976494</v>
      </c>
      <c r="J27" s="64">
        <f ca="1">IF(A27&lt;=Inputs!$B$21,"",IF(AND(A27&lt;=Inputs!$B$22,Capitalization!G$18&gt;0),Inputs!$B$25,Inputs!$B$26))</f>
        <v>0.97499999999999998</v>
      </c>
      <c r="K27" s="55">
        <f ca="1">IF(A27=0,-Capitalization!G$19,IF(A27&lt;=Inputs!$B$21,0,I27*J27-IF(AND(A27=Inputs!$B$22,Capitalization!G$18&gt;0),Inputs!$B$23,0)))</f>
        <v>16.708095174202082</v>
      </c>
      <c r="L27" s="65">
        <f t="shared" si="2"/>
        <v>1.6416915076233702</v>
      </c>
      <c r="M27" s="55">
        <f>IF(A27=0,-Capitalization!G$4,IF(A27&lt;=Inputs!$B$21,0,G27))</f>
        <v>43.84172006</v>
      </c>
    </row>
    <row r="28" spans="1:13" ht="15" customHeight="1" x14ac:dyDescent="0.2">
      <c r="A28" s="44">
        <v>23</v>
      </c>
      <c r="B28" s="44" t="str">
        <f>IF(A28=0,"Equity",IF(A28&lt;=Inputs!$B$21,"Construction",IF(A28&lt;=Inputs!$B$21+Inputs!$B$5,"Queue wait",IF(A28&lt;=Inputs!$B$21+Configurations!$D$15,"Grid ops"," "))))</f>
        <v>Grid ops</v>
      </c>
      <c r="C28" s="44">
        <f>IF(A28&lt;=Inputs!$B$21,"",A28-Inputs!$B$21-1)</f>
        <v>20</v>
      </c>
      <c r="D28" s="56">
        <f>IF(OR(A28&lt;=Inputs!$B$21,A28&gt;Inputs!$B$21+Configurations!$D$15),0,Configurations!$D$4*Configurations!$D$5*8760*(1-Configurations!$D$6)^C28*Configurations!$D$7*(1-Configurations!$D$8))</f>
        <v>730255.5</v>
      </c>
      <c r="E28" s="55">
        <f>IF(OR(A28&lt;=Inputs!$B$21,A28&gt;Inputs!$B$21+Configurations!$D$15),0,IF(A28&lt;=Inputs!$B$21+Inputs!$B$5,D28*(1-Inputs!$B$10)*Configurations!$D$16/1000000,D28*Inputs!$B$18/1000000))</f>
        <v>52.578395999999998</v>
      </c>
      <c r="F28" s="55">
        <f>IF(OR(A28&lt;=Inputs!$B$21,A28&gt;Inputs!$B$21+Configurations!$D$15),0,Configurations!$D$12+Configurations!$D$13+Configurations!$D$14+Inputs!$B$20*E28)</f>
        <v>8.7366759399999996</v>
      </c>
      <c r="G28" s="55">
        <f t="shared" si="0"/>
        <v>43.84172006</v>
      </c>
      <c r="H28" s="63">
        <f>IF(AND(A28&gt;Inputs!$B$21,A28&lt;=Inputs!$B$21+Inputs!$B$12),Capitalization!G$12,0)</f>
        <v>0</v>
      </c>
      <c r="I28" s="55">
        <f t="shared" si="1"/>
        <v>43.84172006</v>
      </c>
      <c r="J28" s="64">
        <f ca="1">IF(A28&lt;=Inputs!$B$21,"",IF(AND(A28&lt;=Inputs!$B$22,Capitalization!G$18&gt;0),Inputs!$B$25,Inputs!$B$26))</f>
        <v>0.97499999999999998</v>
      </c>
      <c r="K28" s="55">
        <f ca="1">IF(A28=0,-Capitalization!G$19,IF(A28&lt;=Inputs!$B$21,0,I28*J28-IF(AND(A28=Inputs!$B$22,Capitalization!G$18&gt;0),Inputs!$B$23,0)))</f>
        <v>42.7456770585</v>
      </c>
      <c r="L28" s="65" t="str">
        <f t="shared" si="2"/>
        <v/>
      </c>
      <c r="M28" s="55">
        <f>IF(A28=0,-Capitalization!G$4,IF(A28&lt;=Inputs!$B$21,0,G28))</f>
        <v>43.84172006</v>
      </c>
    </row>
    <row r="29" spans="1:13" ht="15" customHeight="1" x14ac:dyDescent="0.2">
      <c r="A29" s="44">
        <v>24</v>
      </c>
      <c r="B29" s="44" t="str">
        <f>IF(A29=0,"Equity",IF(A29&lt;=Inputs!$B$21,"Construction",IF(A29&lt;=Inputs!$B$21+Inputs!$B$5,"Queue wait",IF(A29&lt;=Inputs!$B$21+Configurations!$D$15,"Grid ops"," "))))</f>
        <v>Grid ops</v>
      </c>
      <c r="C29" s="44">
        <f>IF(A29&lt;=Inputs!$B$21,"",A29-Inputs!$B$21-1)</f>
        <v>21</v>
      </c>
      <c r="D29" s="56">
        <f>IF(OR(A29&lt;=Inputs!$B$21,A29&gt;Inputs!$B$21+Configurations!$D$15),0,Configurations!$D$4*Configurations!$D$5*8760*(1-Configurations!$D$6)^C29*Configurations!$D$7*(1-Configurations!$D$8))</f>
        <v>730255.5</v>
      </c>
      <c r="E29" s="55">
        <f>IF(OR(A29&lt;=Inputs!$B$21,A29&gt;Inputs!$B$21+Configurations!$D$15),0,IF(A29&lt;=Inputs!$B$21+Inputs!$B$5,D29*(1-Inputs!$B$10)*Configurations!$D$16/1000000,D29*Inputs!$B$18/1000000))</f>
        <v>52.578395999999998</v>
      </c>
      <c r="F29" s="55">
        <f>IF(OR(A29&lt;=Inputs!$B$21,A29&gt;Inputs!$B$21+Configurations!$D$15),0,Configurations!$D$12+Configurations!$D$13+Configurations!$D$14+Inputs!$B$20*E29)</f>
        <v>8.7366759399999996</v>
      </c>
      <c r="G29" s="55">
        <f t="shared" si="0"/>
        <v>43.84172006</v>
      </c>
      <c r="H29" s="63">
        <f>IF(AND(A29&gt;Inputs!$B$21,A29&lt;=Inputs!$B$21+Inputs!$B$12),Capitalization!G$12,0)</f>
        <v>0</v>
      </c>
      <c r="I29" s="55">
        <f t="shared" si="1"/>
        <v>43.84172006</v>
      </c>
      <c r="J29" s="64">
        <f ca="1">IF(A29&lt;=Inputs!$B$21,"",IF(AND(A29&lt;=Inputs!$B$22,Capitalization!G$18&gt;0),Inputs!$B$25,Inputs!$B$26))</f>
        <v>0.97499999999999998</v>
      </c>
      <c r="K29" s="55">
        <f ca="1">IF(A29=0,-Capitalization!G$19,IF(A29&lt;=Inputs!$B$21,0,I29*J29-IF(AND(A29=Inputs!$B$22,Capitalization!G$18&gt;0),Inputs!$B$23,0)))</f>
        <v>42.7456770585</v>
      </c>
      <c r="L29" s="65" t="str">
        <f t="shared" si="2"/>
        <v/>
      </c>
      <c r="M29" s="55">
        <f>IF(A29=0,-Capitalization!G$4,IF(A29&lt;=Inputs!$B$21,0,G29))</f>
        <v>43.84172006</v>
      </c>
    </row>
    <row r="30" spans="1:13" ht="15" customHeight="1" x14ac:dyDescent="0.2">
      <c r="A30" s="44">
        <v>25</v>
      </c>
      <c r="B30" s="44" t="str">
        <f>IF(A30=0,"Equity",IF(A30&lt;=Inputs!$B$21,"Construction",IF(A30&lt;=Inputs!$B$21+Inputs!$B$5,"Queue wait",IF(A30&lt;=Inputs!$B$21+Configurations!$D$15,"Grid ops"," "))))</f>
        <v>Grid ops</v>
      </c>
      <c r="C30" s="44">
        <f>IF(A30&lt;=Inputs!$B$21,"",A30-Inputs!$B$21-1)</f>
        <v>22</v>
      </c>
      <c r="D30" s="56">
        <f>IF(OR(A30&lt;=Inputs!$B$21,A30&gt;Inputs!$B$21+Configurations!$D$15),0,Configurations!$D$4*Configurations!$D$5*8760*(1-Configurations!$D$6)^C30*Configurations!$D$7*(1-Configurations!$D$8))</f>
        <v>730255.5</v>
      </c>
      <c r="E30" s="55">
        <f>IF(OR(A30&lt;=Inputs!$B$21,A30&gt;Inputs!$B$21+Configurations!$D$15),0,IF(A30&lt;=Inputs!$B$21+Inputs!$B$5,D30*(1-Inputs!$B$10)*Configurations!$D$16/1000000,D30*Inputs!$B$18/1000000))</f>
        <v>52.578395999999998</v>
      </c>
      <c r="F30" s="55">
        <f>IF(OR(A30&lt;=Inputs!$B$21,A30&gt;Inputs!$B$21+Configurations!$D$15),0,Configurations!$D$12+Configurations!$D$13+Configurations!$D$14+Inputs!$B$20*E30)</f>
        <v>8.7366759399999996</v>
      </c>
      <c r="G30" s="55">
        <f t="shared" si="0"/>
        <v>43.84172006</v>
      </c>
      <c r="H30" s="63">
        <f>IF(AND(A30&gt;Inputs!$B$21,A30&lt;=Inputs!$B$21+Inputs!$B$12),Capitalization!G$12,0)</f>
        <v>0</v>
      </c>
      <c r="I30" s="55">
        <f t="shared" si="1"/>
        <v>43.84172006</v>
      </c>
      <c r="J30" s="64">
        <f ca="1">IF(A30&lt;=Inputs!$B$21,"",IF(AND(A30&lt;=Inputs!$B$22,Capitalization!G$18&gt;0),Inputs!$B$25,Inputs!$B$26))</f>
        <v>0.97499999999999998</v>
      </c>
      <c r="K30" s="55">
        <f ca="1">IF(A30=0,-Capitalization!G$19,IF(A30&lt;=Inputs!$B$21,0,I30*J30-IF(AND(A30=Inputs!$B$22,Capitalization!G$18&gt;0),Inputs!$B$23,0)))</f>
        <v>42.7456770585</v>
      </c>
      <c r="L30" s="65" t="str">
        <f t="shared" si="2"/>
        <v/>
      </c>
      <c r="M30" s="55">
        <f>IF(A30=0,-Capitalization!G$4,IF(A30&lt;=Inputs!$B$21,0,G30))</f>
        <v>43.84172006</v>
      </c>
    </row>
    <row r="31" spans="1:13" ht="15" customHeight="1" x14ac:dyDescent="0.2">
      <c r="A31" s="44">
        <v>26</v>
      </c>
      <c r="B31" s="44" t="str">
        <f>IF(A31=0,"Equity",IF(A31&lt;=Inputs!$B$21,"Construction",IF(A31&lt;=Inputs!$B$21+Inputs!$B$5,"Queue wait",IF(A31&lt;=Inputs!$B$21+Configurations!$D$15,"Grid ops"," "))))</f>
        <v>Grid ops</v>
      </c>
      <c r="C31" s="44">
        <f>IF(A31&lt;=Inputs!$B$21,"",A31-Inputs!$B$21-1)</f>
        <v>23</v>
      </c>
      <c r="D31" s="56">
        <f>IF(OR(A31&lt;=Inputs!$B$21,A31&gt;Inputs!$B$21+Configurations!$D$15),0,Configurations!$D$4*Configurations!$D$5*8760*(1-Configurations!$D$6)^C31*Configurations!$D$7*(1-Configurations!$D$8))</f>
        <v>730255.5</v>
      </c>
      <c r="E31" s="55">
        <f>IF(OR(A31&lt;=Inputs!$B$21,A31&gt;Inputs!$B$21+Configurations!$D$15),0,IF(A31&lt;=Inputs!$B$21+Inputs!$B$5,D31*(1-Inputs!$B$10)*Configurations!$D$16/1000000,D31*Inputs!$B$18/1000000))</f>
        <v>52.578395999999998</v>
      </c>
      <c r="F31" s="55">
        <f>IF(OR(A31&lt;=Inputs!$B$21,A31&gt;Inputs!$B$21+Configurations!$D$15),0,Configurations!$D$12+Configurations!$D$13+Configurations!$D$14+Inputs!$B$20*E31)</f>
        <v>8.7366759399999996</v>
      </c>
      <c r="G31" s="55">
        <f t="shared" si="0"/>
        <v>43.84172006</v>
      </c>
      <c r="H31" s="63">
        <f>IF(AND(A31&gt;Inputs!$B$21,A31&lt;=Inputs!$B$21+Inputs!$B$12),Capitalization!G$12,0)</f>
        <v>0</v>
      </c>
      <c r="I31" s="55">
        <f t="shared" si="1"/>
        <v>43.84172006</v>
      </c>
      <c r="J31" s="64">
        <f ca="1">IF(A31&lt;=Inputs!$B$21,"",IF(AND(A31&lt;=Inputs!$B$22,Capitalization!G$18&gt;0),Inputs!$B$25,Inputs!$B$26))</f>
        <v>0.97499999999999998</v>
      </c>
      <c r="K31" s="55">
        <f ca="1">IF(A31=0,-Capitalization!G$19,IF(A31&lt;=Inputs!$B$21,0,I31*J31-IF(AND(A31=Inputs!$B$22,Capitalization!G$18&gt;0),Inputs!$B$23,0)))</f>
        <v>42.7456770585</v>
      </c>
      <c r="L31" s="65" t="str">
        <f t="shared" si="2"/>
        <v/>
      </c>
      <c r="M31" s="55">
        <f>IF(A31=0,-Capitalization!G$4,IF(A31&lt;=Inputs!$B$21,0,G31))</f>
        <v>43.84172006</v>
      </c>
    </row>
    <row r="32" spans="1:13" ht="15" customHeight="1" x14ac:dyDescent="0.2">
      <c r="A32" s="44">
        <v>27</v>
      </c>
      <c r="B32" s="44" t="str">
        <f>IF(A32=0,"Equity",IF(A32&lt;=Inputs!$B$21,"Construction",IF(A32&lt;=Inputs!$B$21+Inputs!$B$5,"Queue wait",IF(A32&lt;=Inputs!$B$21+Configurations!$D$15,"Grid ops"," "))))</f>
        <v>Grid ops</v>
      </c>
      <c r="C32" s="44">
        <f>IF(A32&lt;=Inputs!$B$21,"",A32-Inputs!$B$21-1)</f>
        <v>24</v>
      </c>
      <c r="D32" s="56">
        <f>IF(OR(A32&lt;=Inputs!$B$21,A32&gt;Inputs!$B$21+Configurations!$D$15),0,Configurations!$D$4*Configurations!$D$5*8760*(1-Configurations!$D$6)^C32*Configurations!$D$7*(1-Configurations!$D$8))</f>
        <v>730255.5</v>
      </c>
      <c r="E32" s="55">
        <f>IF(OR(A32&lt;=Inputs!$B$21,A32&gt;Inputs!$B$21+Configurations!$D$15),0,IF(A32&lt;=Inputs!$B$21+Inputs!$B$5,D32*(1-Inputs!$B$10)*Configurations!$D$16/1000000,D32*Inputs!$B$18/1000000))</f>
        <v>52.578395999999998</v>
      </c>
      <c r="F32" s="55">
        <f>IF(OR(A32&lt;=Inputs!$B$21,A32&gt;Inputs!$B$21+Configurations!$D$15),0,Configurations!$D$12+Configurations!$D$13+Configurations!$D$14+Inputs!$B$20*E32)</f>
        <v>8.7366759399999996</v>
      </c>
      <c r="G32" s="55">
        <f t="shared" si="0"/>
        <v>43.84172006</v>
      </c>
      <c r="H32" s="63">
        <f>IF(AND(A32&gt;Inputs!$B$21,A32&lt;=Inputs!$B$21+Inputs!$B$12),Capitalization!G$12,0)</f>
        <v>0</v>
      </c>
      <c r="I32" s="55">
        <f t="shared" si="1"/>
        <v>43.84172006</v>
      </c>
      <c r="J32" s="64">
        <f ca="1">IF(A32&lt;=Inputs!$B$21,"",IF(AND(A32&lt;=Inputs!$B$22,Capitalization!G$18&gt;0),Inputs!$B$25,Inputs!$B$26))</f>
        <v>0.97499999999999998</v>
      </c>
      <c r="K32" s="55">
        <f ca="1">IF(A32=0,-Capitalization!G$19,IF(A32&lt;=Inputs!$B$21,0,I32*J32-IF(AND(A32=Inputs!$B$22,Capitalization!G$18&gt;0),Inputs!$B$23,0)))</f>
        <v>42.7456770585</v>
      </c>
      <c r="L32" s="65" t="str">
        <f t="shared" si="2"/>
        <v/>
      </c>
      <c r="M32" s="55">
        <f>IF(A32=0,-Capitalization!G$4,IF(A32&lt;=Inputs!$B$21,0,G32))</f>
        <v>43.84172006</v>
      </c>
    </row>
    <row r="33" spans="1:13" ht="15" customHeight="1" x14ac:dyDescent="0.2">
      <c r="A33" s="44">
        <v>28</v>
      </c>
      <c r="B33" s="44" t="str">
        <f>IF(A33=0,"Equity",IF(A33&lt;=Inputs!$B$21,"Construction",IF(A33&lt;=Inputs!$B$21+Inputs!$B$5,"Queue wait",IF(A33&lt;=Inputs!$B$21+Configurations!$D$15,"Grid ops"," "))))</f>
        <v>Grid ops</v>
      </c>
      <c r="C33" s="44">
        <f>IF(A33&lt;=Inputs!$B$21,"",A33-Inputs!$B$21-1)</f>
        <v>25</v>
      </c>
      <c r="D33" s="56">
        <f>IF(OR(A33&lt;=Inputs!$B$21,A33&gt;Inputs!$B$21+Configurations!$D$15),0,Configurations!$D$4*Configurations!$D$5*8760*(1-Configurations!$D$6)^C33*Configurations!$D$7*(1-Configurations!$D$8))</f>
        <v>730255.5</v>
      </c>
      <c r="E33" s="55">
        <f>IF(OR(A33&lt;=Inputs!$B$21,A33&gt;Inputs!$B$21+Configurations!$D$15),0,IF(A33&lt;=Inputs!$B$21+Inputs!$B$5,D33*(1-Inputs!$B$10)*Configurations!$D$16/1000000,D33*Inputs!$B$18/1000000))</f>
        <v>52.578395999999998</v>
      </c>
      <c r="F33" s="55">
        <f>IF(OR(A33&lt;=Inputs!$B$21,A33&gt;Inputs!$B$21+Configurations!$D$15),0,Configurations!$D$12+Configurations!$D$13+Configurations!$D$14+Inputs!$B$20*E33)</f>
        <v>8.7366759399999996</v>
      </c>
      <c r="G33" s="55">
        <f t="shared" si="0"/>
        <v>43.84172006</v>
      </c>
      <c r="H33" s="63">
        <f>IF(AND(A33&gt;Inputs!$B$21,A33&lt;=Inputs!$B$21+Inputs!$B$12),Capitalization!G$12,0)</f>
        <v>0</v>
      </c>
      <c r="I33" s="55">
        <f t="shared" si="1"/>
        <v>43.84172006</v>
      </c>
      <c r="J33" s="64">
        <f ca="1">IF(A33&lt;=Inputs!$B$21,"",IF(AND(A33&lt;=Inputs!$B$22,Capitalization!G$18&gt;0),Inputs!$B$25,Inputs!$B$26))</f>
        <v>0.97499999999999998</v>
      </c>
      <c r="K33" s="55">
        <f ca="1">IF(A33=0,-Capitalization!G$19,IF(A33&lt;=Inputs!$B$21,0,I33*J33-IF(AND(A33=Inputs!$B$22,Capitalization!G$18&gt;0),Inputs!$B$23,0)))</f>
        <v>42.7456770585</v>
      </c>
      <c r="L33" s="65" t="str">
        <f t="shared" si="2"/>
        <v/>
      </c>
      <c r="M33" s="55">
        <f>IF(A33=0,-Capitalization!G$4,IF(A33&lt;=Inputs!$B$21,0,G33))</f>
        <v>43.84172006</v>
      </c>
    </row>
    <row r="34" spans="1:13" ht="15" customHeight="1" x14ac:dyDescent="0.2">
      <c r="A34" s="44">
        <v>29</v>
      </c>
      <c r="B34" s="44" t="str">
        <f>IF(A34=0,"Equity",IF(A34&lt;=Inputs!$B$21,"Construction",IF(A34&lt;=Inputs!$B$21+Inputs!$B$5,"Queue wait",IF(A34&lt;=Inputs!$B$21+Configurations!$D$15,"Grid ops"," "))))</f>
        <v>Grid ops</v>
      </c>
      <c r="C34" s="44">
        <f>IF(A34&lt;=Inputs!$B$21,"",A34-Inputs!$B$21-1)</f>
        <v>26</v>
      </c>
      <c r="D34" s="56">
        <f>IF(OR(A34&lt;=Inputs!$B$21,A34&gt;Inputs!$B$21+Configurations!$D$15),0,Configurations!$D$4*Configurations!$D$5*8760*(1-Configurations!$D$6)^C34*Configurations!$D$7*(1-Configurations!$D$8))</f>
        <v>730255.5</v>
      </c>
      <c r="E34" s="55">
        <f>IF(OR(A34&lt;=Inputs!$B$21,A34&gt;Inputs!$B$21+Configurations!$D$15),0,IF(A34&lt;=Inputs!$B$21+Inputs!$B$5,D34*(1-Inputs!$B$10)*Configurations!$D$16/1000000,D34*Inputs!$B$18/1000000))</f>
        <v>52.578395999999998</v>
      </c>
      <c r="F34" s="55">
        <f>IF(OR(A34&lt;=Inputs!$B$21,A34&gt;Inputs!$B$21+Configurations!$D$15),0,Configurations!$D$12+Configurations!$D$13+Configurations!$D$14+Inputs!$B$20*E34)</f>
        <v>8.7366759399999996</v>
      </c>
      <c r="G34" s="55">
        <f t="shared" si="0"/>
        <v>43.84172006</v>
      </c>
      <c r="H34" s="63">
        <f>IF(AND(A34&gt;Inputs!$B$21,A34&lt;=Inputs!$B$21+Inputs!$B$12),Capitalization!G$12,0)</f>
        <v>0</v>
      </c>
      <c r="I34" s="55">
        <f t="shared" si="1"/>
        <v>43.84172006</v>
      </c>
      <c r="J34" s="64">
        <f ca="1">IF(A34&lt;=Inputs!$B$21,"",IF(AND(A34&lt;=Inputs!$B$22,Capitalization!G$18&gt;0),Inputs!$B$25,Inputs!$B$26))</f>
        <v>0.97499999999999998</v>
      </c>
      <c r="K34" s="55">
        <f ca="1">IF(A34=0,-Capitalization!G$19,IF(A34&lt;=Inputs!$B$21,0,I34*J34-IF(AND(A34=Inputs!$B$22,Capitalization!G$18&gt;0),Inputs!$B$23,0)))</f>
        <v>42.7456770585</v>
      </c>
      <c r="L34" s="65" t="str">
        <f t="shared" si="2"/>
        <v/>
      </c>
      <c r="M34" s="55">
        <f>IF(A34=0,-Capitalization!G$4,IF(A34&lt;=Inputs!$B$21,0,G34))</f>
        <v>43.84172006</v>
      </c>
    </row>
    <row r="35" spans="1:13" ht="15" customHeight="1" x14ac:dyDescent="0.2">
      <c r="A35" s="44">
        <v>30</v>
      </c>
      <c r="B35" s="44" t="str">
        <f>IF(A35=0,"Equity",IF(A35&lt;=Inputs!$B$21,"Construction",IF(A35&lt;=Inputs!$B$21+Inputs!$B$5,"Queue wait",IF(A35&lt;=Inputs!$B$21+Configurations!$D$15,"Grid ops"," "))))</f>
        <v>Grid ops</v>
      </c>
      <c r="C35" s="44">
        <f>IF(A35&lt;=Inputs!$B$21,"",A35-Inputs!$B$21-1)</f>
        <v>27</v>
      </c>
      <c r="D35" s="56">
        <f>IF(OR(A35&lt;=Inputs!$B$21,A35&gt;Inputs!$B$21+Configurations!$D$15),0,Configurations!$D$4*Configurations!$D$5*8760*(1-Configurations!$D$6)^C35*Configurations!$D$7*(1-Configurations!$D$8))</f>
        <v>730255.5</v>
      </c>
      <c r="E35" s="55">
        <f>IF(OR(A35&lt;=Inputs!$B$21,A35&gt;Inputs!$B$21+Configurations!$D$15),0,IF(A35&lt;=Inputs!$B$21+Inputs!$B$5,D35*(1-Inputs!$B$10)*Configurations!$D$16/1000000,D35*Inputs!$B$18/1000000))</f>
        <v>52.578395999999998</v>
      </c>
      <c r="F35" s="55">
        <f>IF(OR(A35&lt;=Inputs!$B$21,A35&gt;Inputs!$B$21+Configurations!$D$15),0,Configurations!$D$12+Configurations!$D$13+Configurations!$D$14+Inputs!$B$20*E35)</f>
        <v>8.7366759399999996</v>
      </c>
      <c r="G35" s="55">
        <f t="shared" si="0"/>
        <v>43.84172006</v>
      </c>
      <c r="H35" s="63">
        <f>IF(AND(A35&gt;Inputs!$B$21,A35&lt;=Inputs!$B$21+Inputs!$B$12),Capitalization!G$12,0)</f>
        <v>0</v>
      </c>
      <c r="I35" s="55">
        <f t="shared" si="1"/>
        <v>43.84172006</v>
      </c>
      <c r="J35" s="64">
        <f ca="1">IF(A35&lt;=Inputs!$B$21,"",IF(AND(A35&lt;=Inputs!$B$22,Capitalization!G$18&gt;0),Inputs!$B$25,Inputs!$B$26))</f>
        <v>0.97499999999999998</v>
      </c>
      <c r="K35" s="55">
        <f ca="1">IF(A35=0,-Capitalization!G$19,IF(A35&lt;=Inputs!$B$21,0,I35*J35-IF(AND(A35=Inputs!$B$22,Capitalization!G$18&gt;0),Inputs!$B$23,0)))</f>
        <v>42.7456770585</v>
      </c>
      <c r="L35" s="65" t="str">
        <f t="shared" si="2"/>
        <v/>
      </c>
      <c r="M35" s="55">
        <f>IF(A35=0,-Capitalization!G$4,IF(A35&lt;=Inputs!$B$21,0,G35))</f>
        <v>43.84172006</v>
      </c>
    </row>
    <row r="36" spans="1:13" ht="15" customHeight="1" x14ac:dyDescent="0.2">
      <c r="A36" s="44">
        <v>31</v>
      </c>
      <c r="B36" s="44" t="str">
        <f>IF(A36=0,"Equity",IF(A36&lt;=Inputs!$B$21,"Construction",IF(A36&lt;=Inputs!$B$21+Inputs!$B$5,"Queue wait",IF(A36&lt;=Inputs!$B$21+Configurations!$D$15,"Grid ops"," "))))</f>
        <v>Grid ops</v>
      </c>
      <c r="C36" s="44">
        <f>IF(A36&lt;=Inputs!$B$21,"",A36-Inputs!$B$21-1)</f>
        <v>28</v>
      </c>
      <c r="D36" s="56">
        <f>IF(OR(A36&lt;=Inputs!$B$21,A36&gt;Inputs!$B$21+Configurations!$D$15),0,Configurations!$D$4*Configurations!$D$5*8760*(1-Configurations!$D$6)^C36*Configurations!$D$7*(1-Configurations!$D$8))</f>
        <v>730255.5</v>
      </c>
      <c r="E36" s="55">
        <f>IF(OR(A36&lt;=Inputs!$B$21,A36&gt;Inputs!$B$21+Configurations!$D$15),0,IF(A36&lt;=Inputs!$B$21+Inputs!$B$5,D36*(1-Inputs!$B$10)*Configurations!$D$16/1000000,D36*Inputs!$B$18/1000000))</f>
        <v>52.578395999999998</v>
      </c>
      <c r="F36" s="55">
        <f>IF(OR(A36&lt;=Inputs!$B$21,A36&gt;Inputs!$B$21+Configurations!$D$15),0,Configurations!$D$12+Configurations!$D$13+Configurations!$D$14+Inputs!$B$20*E36)</f>
        <v>8.7366759399999996</v>
      </c>
      <c r="G36" s="55">
        <f t="shared" si="0"/>
        <v>43.84172006</v>
      </c>
      <c r="H36" s="63">
        <f>IF(AND(A36&gt;Inputs!$B$21,A36&lt;=Inputs!$B$21+Inputs!$B$12),Capitalization!G$12,0)</f>
        <v>0</v>
      </c>
      <c r="I36" s="55">
        <f t="shared" si="1"/>
        <v>43.84172006</v>
      </c>
      <c r="J36" s="64">
        <f ca="1">IF(A36&lt;=Inputs!$B$21,"",IF(AND(A36&lt;=Inputs!$B$22,Capitalization!G$18&gt;0),Inputs!$B$25,Inputs!$B$26))</f>
        <v>0.97499999999999998</v>
      </c>
      <c r="K36" s="55">
        <f ca="1">IF(A36=0,-Capitalization!G$19,IF(A36&lt;=Inputs!$B$21,0,I36*J36-IF(AND(A36=Inputs!$B$22,Capitalization!G$18&gt;0),Inputs!$B$23,0)))</f>
        <v>42.7456770585</v>
      </c>
      <c r="L36" s="65" t="str">
        <f t="shared" si="2"/>
        <v/>
      </c>
      <c r="M36" s="55">
        <f>IF(A36=0,-Capitalization!G$4,IF(A36&lt;=Inputs!$B$21,0,G36))</f>
        <v>43.84172006</v>
      </c>
    </row>
    <row r="37" spans="1:13" ht="15" customHeight="1" x14ac:dyDescent="0.2">
      <c r="A37" s="44">
        <v>32</v>
      </c>
      <c r="B37" s="44" t="str">
        <f>IF(A37=0,"Equity",IF(A37&lt;=Inputs!$B$21,"Construction",IF(A37&lt;=Inputs!$B$21+Inputs!$B$5,"Queue wait",IF(A37&lt;=Inputs!$B$21+Configurations!$D$15,"Grid ops"," "))))</f>
        <v>Grid ops</v>
      </c>
      <c r="C37" s="44">
        <f>IF(A37&lt;=Inputs!$B$21,"",A37-Inputs!$B$21-1)</f>
        <v>29</v>
      </c>
      <c r="D37" s="56">
        <f>IF(OR(A37&lt;=Inputs!$B$21,A37&gt;Inputs!$B$21+Configurations!$D$15),0,Configurations!$D$4*Configurations!$D$5*8760*(1-Configurations!$D$6)^C37*Configurations!$D$7*(1-Configurations!$D$8))</f>
        <v>730255.5</v>
      </c>
      <c r="E37" s="55">
        <f>IF(OR(A37&lt;=Inputs!$B$21,A37&gt;Inputs!$B$21+Configurations!$D$15),0,IF(A37&lt;=Inputs!$B$21+Inputs!$B$5,D37*(1-Inputs!$B$10)*Configurations!$D$16/1000000,D37*Inputs!$B$18/1000000))</f>
        <v>52.578395999999998</v>
      </c>
      <c r="F37" s="55">
        <f>IF(OR(A37&lt;=Inputs!$B$21,A37&gt;Inputs!$B$21+Configurations!$D$15),0,Configurations!$D$12+Configurations!$D$13+Configurations!$D$14+Inputs!$B$20*E37)</f>
        <v>8.7366759399999996</v>
      </c>
      <c r="G37" s="55">
        <f t="shared" si="0"/>
        <v>43.84172006</v>
      </c>
      <c r="H37" s="63">
        <f>IF(AND(A37&gt;Inputs!$B$21,A37&lt;=Inputs!$B$21+Inputs!$B$12),Capitalization!G$12,0)</f>
        <v>0</v>
      </c>
      <c r="I37" s="55">
        <f t="shared" si="1"/>
        <v>43.84172006</v>
      </c>
      <c r="J37" s="64">
        <f ca="1">IF(A37&lt;=Inputs!$B$21,"",IF(AND(A37&lt;=Inputs!$B$22,Capitalization!G$18&gt;0),Inputs!$B$25,Inputs!$B$26))</f>
        <v>0.97499999999999998</v>
      </c>
      <c r="K37" s="55">
        <f ca="1">IF(A37=0,-Capitalization!G$19,IF(A37&lt;=Inputs!$B$21,0,I37*J37-IF(AND(A37=Inputs!$B$22,Capitalization!G$18&gt;0),Inputs!$B$23,0)))</f>
        <v>42.7456770585</v>
      </c>
      <c r="L37" s="65" t="str">
        <f t="shared" si="2"/>
        <v/>
      </c>
      <c r="M37" s="55">
        <f>IF(A37=0,-Capitalization!G$4,IF(A37&lt;=Inputs!$B$21,0,G37))</f>
        <v>43.84172006</v>
      </c>
    </row>
  </sheetData>
  <phoneticPr fontId="22" type="noConversion"/>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67"/>
  <sheetViews>
    <sheetView zoomScaleNormal="100" workbookViewId="0"/>
  </sheetViews>
  <sheetFormatPr baseColWidth="10" defaultColWidth="8.6640625" defaultRowHeight="15" x14ac:dyDescent="0.2"/>
  <cols>
    <col min="1" max="1" width="44" customWidth="1"/>
    <col min="2" max="4" width="20" customWidth="1"/>
    <col min="5" max="5" width="14" customWidth="1"/>
  </cols>
  <sheetData>
    <row r="1" spans="1:4" ht="15.75" customHeight="1" x14ac:dyDescent="0.2">
      <c r="A1" s="7" t="s">
        <v>402</v>
      </c>
    </row>
    <row r="3" spans="1:4" ht="15" customHeight="1" x14ac:dyDescent="0.2">
      <c r="A3" s="43"/>
      <c r="B3" s="43" t="s">
        <v>315</v>
      </c>
      <c r="C3" s="43" t="s">
        <v>316</v>
      </c>
      <c r="D3" s="43" t="s">
        <v>317</v>
      </c>
    </row>
    <row r="4" spans="1:4" ht="15" customHeight="1" x14ac:dyDescent="0.2">
      <c r="A4" s="44" t="s">
        <v>403</v>
      </c>
      <c r="B4" s="66">
        <f ca="1">SolarBase!B2</f>
        <v>4.0713705357377838E-2</v>
      </c>
      <c r="C4" s="66">
        <f ca="1">WindBase!B2</f>
        <v>7.647168237086599E-2</v>
      </c>
      <c r="D4" s="66">
        <f ca="1">GeoBase!B2</f>
        <v>0.11613819636532696</v>
      </c>
    </row>
    <row r="5" spans="1:4" ht="15" customHeight="1" x14ac:dyDescent="0.2">
      <c r="A5" s="44" t="s">
        <v>404</v>
      </c>
      <c r="B5" s="66">
        <f ca="1">SolarColoc!B2</f>
        <v>0.11794323080526703</v>
      </c>
      <c r="C5" s="66">
        <f ca="1">WindColoc!B2</f>
        <v>0.24443197829527419</v>
      </c>
      <c r="D5" s="66">
        <f ca="1">GeoColoc!B2</f>
        <v>0.3308196855407548</v>
      </c>
    </row>
    <row r="6" spans="1:4" ht="15" customHeight="1" x14ac:dyDescent="0.2">
      <c r="A6" s="44" t="s">
        <v>405</v>
      </c>
      <c r="B6" s="67">
        <f ca="1">(SolarColoc!B2-SolarBase!B2)*100</f>
        <v>7.7229525447889191</v>
      </c>
      <c r="C6" s="67">
        <f ca="1">(WindColoc!B2-WindBase!B2)*100</f>
        <v>16.796029592440821</v>
      </c>
      <c r="D6" s="67">
        <f ca="1">(GeoColoc!B2-GeoBase!B2)*100</f>
        <v>21.468148917542784</v>
      </c>
    </row>
    <row r="7" spans="1:4" ht="15" customHeight="1" x14ac:dyDescent="0.2">
      <c r="A7" s="44" t="s">
        <v>406</v>
      </c>
      <c r="B7" s="66">
        <f>SolarBase!D2</f>
        <v>9.1238665648731843E-3</v>
      </c>
      <c r="C7" s="66">
        <f>WindBase!D2</f>
        <v>2.0314679820966797E-2</v>
      </c>
      <c r="D7" s="66">
        <f>GeoBase!D2</f>
        <v>3.85638602188354E-2</v>
      </c>
    </row>
    <row r="8" spans="1:4" ht="15" customHeight="1" x14ac:dyDescent="0.2">
      <c r="A8" s="44" t="s">
        <v>407</v>
      </c>
      <c r="B8" s="66">
        <f ca="1">SolarColoc!D2</f>
        <v>3.1641613734069374E-2</v>
      </c>
      <c r="C8" s="66">
        <f ca="1">WindColoc!D2</f>
        <v>4.6035370406062759E-2</v>
      </c>
      <c r="D8" s="66">
        <f ca="1">GeoColoc!D2</f>
        <v>6.536859575211551E-2</v>
      </c>
    </row>
    <row r="9" spans="1:4" ht="15" customHeight="1" x14ac:dyDescent="0.2">
      <c r="A9" s="44" t="s">
        <v>408</v>
      </c>
      <c r="B9" s="63">
        <f ca="1">SolarBase!F2</f>
        <v>-15.396579623722749</v>
      </c>
      <c r="C9" s="63">
        <f ca="1">WindBase!F2</f>
        <v>-2.4701197502487915</v>
      </c>
      <c r="D9" s="63">
        <f ca="1">GeoBase!F2</f>
        <v>57.635834525735405</v>
      </c>
    </row>
    <row r="10" spans="1:4" ht="15" customHeight="1" x14ac:dyDescent="0.2">
      <c r="A10" s="44" t="s">
        <v>409</v>
      </c>
      <c r="B10" s="63">
        <f ca="1">SolarColoc!F2</f>
        <v>11.741962380466042</v>
      </c>
      <c r="C10" s="63">
        <f ca="1">WindColoc!F2</f>
        <v>58.25803084310941</v>
      </c>
      <c r="D10" s="63">
        <f ca="1">GeoColoc!F2</f>
        <v>186.66422165770078</v>
      </c>
    </row>
    <row r="12" spans="1:4" ht="15" customHeight="1" x14ac:dyDescent="0.2">
      <c r="A12" s="43" t="s">
        <v>410</v>
      </c>
    </row>
    <row r="13" spans="1:4" ht="15" customHeight="1" x14ac:dyDescent="0.2">
      <c r="A13" s="44" t="s">
        <v>411</v>
      </c>
      <c r="B13" s="68">
        <f ca="1">SUMIFS(SolarColoc!E5:E37,SolarColoc!A5:A37,"&gt;"&amp;Inputs!$B$21,SolarColoc!A5:A37,"&lt;="&amp;Inputs!$B$21+Inputs!$B$5)-SUMIFS(SolarBase!E5:E37,SolarBase!A5:A37,"&gt;"&amp;Inputs!$B$21,SolarBase!A5:A37,"&lt;="&amp;Inputs!$B$21+Inputs!$B$5)</f>
        <v>109.70040287722593</v>
      </c>
      <c r="C13" s="68">
        <f ca="1">SUMIFS(WindColoc!E5:E37,WindColoc!A5:A37,"&gt;"&amp;Inputs!$B$21,WindColoc!A5:A37,"&lt;="&amp;Inputs!$B$21+Inputs!$B$5)-SUMIFS(WindBase!E5:E37,WindBase!A5:A37,"&gt;"&amp;Inputs!$B$21,WindBase!A5:A37,"&lt;="&amp;Inputs!$B$21+Inputs!$B$5)</f>
        <v>197.74778790811592</v>
      </c>
      <c r="D13" s="68">
        <f ca="1">SUMIFS(GeoColoc!E5:E37,GeoColoc!A5:A37,"&gt;"&amp;Inputs!$B$21,GeoColoc!A5:A37,"&lt;="&amp;Inputs!$B$21+Inputs!$B$5)-SUMIFS(GeoBase!E5:E37,GeoBase!A5:A37,"&gt;"&amp;Inputs!$B$21,GeoBase!A5:A37,"&lt;="&amp;Inputs!$B$21+Inputs!$B$5)</f>
        <v>315.01915219654052</v>
      </c>
    </row>
    <row r="14" spans="1:4" ht="15" customHeight="1" x14ac:dyDescent="0.2">
      <c r="A14" s="44" t="s">
        <v>412</v>
      </c>
      <c r="B14" s="55">
        <f ca="1">B13/Inputs!$B$5</f>
        <v>27.425100719306482</v>
      </c>
      <c r="C14" s="55">
        <f ca="1">C13/Inputs!$B$5</f>
        <v>49.436946977028981</v>
      </c>
      <c r="D14" s="55">
        <f ca="1">D13/Inputs!$B$5</f>
        <v>78.754788049135129</v>
      </c>
    </row>
    <row r="15" spans="1:4" ht="15" customHeight="1" x14ac:dyDescent="0.2">
      <c r="A15" s="44" t="s">
        <v>413</v>
      </c>
      <c r="B15" s="55">
        <f ca="1">SUMIFS(SolarColoc!G5:G37,SolarColoc!A5:A37,"&gt;"&amp;Inputs!$B$21,SolarColoc!A5:A37,"&lt;="&amp;Inputs!$B$21+Inputs!$B$5)-SUMIFS(SolarBase!G5:G37,SolarBase!A5:A37,"&gt;"&amp;Inputs!$B$21,SolarBase!A5:A37,"&lt;="&amp;Inputs!$B$21+Inputs!$B$5)</f>
        <v>93.054896834067534</v>
      </c>
      <c r="C15" s="55">
        <f ca="1">SUMIFS(WindColoc!G5:G37,WindColoc!A5:A37,"&gt;"&amp;Inputs!$B$21,WindColoc!A5:A37,"&lt;="&amp;Inputs!$B$21+Inputs!$B$5)-SUMIFS(WindBase!G5:G37,WindBase!A5:A37,"&gt;"&amp;Inputs!$B$21,WindBase!A5:A37,"&lt;="&amp;Inputs!$B$21+Inputs!$B$5)</f>
        <v>164.78157108949415</v>
      </c>
      <c r="D15" s="55">
        <f ca="1">SUMIFS(GeoColoc!G5:G37,GeoColoc!A5:A37,"&gt;"&amp;Inputs!$B$21,GeoColoc!A5:A37,"&lt;="&amp;Inputs!$B$21+Inputs!$B$5)-SUMIFS(GeoBase!G5:G37,GeoBase!A5:A37,"&gt;"&amp;Inputs!$B$21,GeoBase!A5:A37,"&lt;="&amp;Inputs!$B$21+Inputs!$B$5)</f>
        <v>288.79386491359236</v>
      </c>
    </row>
    <row r="16" spans="1:4" ht="15" customHeight="1" x14ac:dyDescent="0.2">
      <c r="A16" s="44" t="s">
        <v>414</v>
      </c>
      <c r="B16" s="55">
        <f ca="1">SUMIFS(SolarColoc!K5:K37,SolarColoc!A5:A37,"&gt;"&amp;Inputs!$B$21,SolarColoc!A5:A37,"&lt;="&amp;Inputs!$B$21+Inputs!$B$5)-SUMIFS(SolarBase!K5:K37,SolarBase!A5:A37,"&gt;"&amp;Inputs!$B$21,SolarBase!A5:A37,"&lt;="&amp;Inputs!$B$21+Inputs!$B$5)</f>
        <v>66.69398333940282</v>
      </c>
      <c r="C16" s="55">
        <f ca="1">SUMIFS(WindColoc!K5:K37,WindColoc!A5:A37,"&gt;"&amp;Inputs!$B$21,WindColoc!A5:A37,"&lt;="&amp;Inputs!$B$21+Inputs!$B$5)-SUMIFS(WindBase!K5:K37,WindBase!A5:A37,"&gt;"&amp;Inputs!$B$21,WindBase!A5:A37,"&lt;="&amp;Inputs!$B$21+Inputs!$B$5)</f>
        <v>113.02750873407754</v>
      </c>
      <c r="D16" s="55">
        <f ca="1">SUMIFS(GeoColoc!K5:K37,GeoColoc!A5:A37,"&gt;"&amp;Inputs!$B$21,GeoColoc!A5:A37,"&lt;="&amp;Inputs!$B$21+Inputs!$B$5)-SUMIFS(GeoBase!K5:K37,GeoBase!A5:A37,"&gt;"&amp;Inputs!$B$21,GeoBase!A5:A37,"&lt;="&amp;Inputs!$B$21+Inputs!$B$5)</f>
        <v>200.60931142046908</v>
      </c>
    </row>
    <row r="17" spans="1:5" ht="15" customHeight="1" x14ac:dyDescent="0.2">
      <c r="A17" s="44" t="s">
        <v>415</v>
      </c>
      <c r="B17" s="55">
        <f>Configurations!$B$11</f>
        <v>12</v>
      </c>
      <c r="C17" s="55">
        <f>Configurations!$C$11</f>
        <v>18</v>
      </c>
      <c r="D17" s="55">
        <f>Configurations!$D$11</f>
        <v>12</v>
      </c>
    </row>
    <row r="18" spans="1:5" ht="15" customHeight="1" x14ac:dyDescent="0.2">
      <c r="A18" s="44" t="s">
        <v>416</v>
      </c>
      <c r="B18" s="55">
        <f ca="1">Capitalization!C19-Capitalization!B19</f>
        <v>18.639101380515712</v>
      </c>
      <c r="C18" s="55">
        <f ca="1">Capitalization!E19-Capitalization!D19</f>
        <v>8.0999999999999943</v>
      </c>
      <c r="D18" s="55">
        <f ca="1">Capitalization!G19-Capitalization!F19</f>
        <v>5.3999999999999773</v>
      </c>
    </row>
    <row r="19" spans="1:5" ht="15" customHeight="1" x14ac:dyDescent="0.2">
      <c r="A19" s="44" t="s">
        <v>417</v>
      </c>
      <c r="B19" s="55">
        <f ca="1">SolarColoc!F2-SolarBase!F2</f>
        <v>27.138542004188793</v>
      </c>
      <c r="C19" s="55">
        <f ca="1">WindColoc!F2-WindBase!F2</f>
        <v>60.728150593358201</v>
      </c>
      <c r="D19" s="55">
        <f ca="1">GeoColoc!F2-GeoBase!F2</f>
        <v>129.02838713196536</v>
      </c>
    </row>
    <row r="21" spans="1:5" ht="15" customHeight="1" x14ac:dyDescent="0.2">
      <c r="A21" s="10"/>
    </row>
    <row r="22" spans="1:5" ht="15" customHeight="1" x14ac:dyDescent="0.2">
      <c r="A22" s="42"/>
      <c r="B22" s="26"/>
      <c r="C22" s="26"/>
      <c r="D22" s="26"/>
    </row>
    <row r="23" spans="1:5" ht="15" customHeight="1" x14ac:dyDescent="0.2">
      <c r="B23" s="69"/>
      <c r="C23" s="69"/>
      <c r="D23" s="69"/>
    </row>
    <row r="24" spans="1:5" ht="15" customHeight="1" x14ac:dyDescent="0.2">
      <c r="A24" s="57" t="s">
        <v>418</v>
      </c>
      <c r="B24" s="69"/>
      <c r="C24" s="69"/>
      <c r="D24" s="69"/>
    </row>
    <row r="25" spans="1:5" ht="15" customHeight="1" x14ac:dyDescent="0.2">
      <c r="A25" s="43" t="s">
        <v>419</v>
      </c>
      <c r="B25" s="70" t="s">
        <v>420</v>
      </c>
      <c r="C25" s="70" t="s">
        <v>421</v>
      </c>
      <c r="D25" s="70" t="s">
        <v>422</v>
      </c>
      <c r="E25" s="43" t="s">
        <v>423</v>
      </c>
    </row>
    <row r="26" spans="1:5" ht="15" customHeight="1" x14ac:dyDescent="0.2">
      <c r="A26" s="64">
        <v>0.3</v>
      </c>
      <c r="B26" s="56">
        <v>2</v>
      </c>
      <c r="C26" s="64">
        <v>6.9800000000000001E-2</v>
      </c>
      <c r="D26" s="64">
        <v>4.9299999999999997E-2</v>
      </c>
      <c r="E26" s="71">
        <v>-2.0499999999999998</v>
      </c>
    </row>
    <row r="27" spans="1:5" ht="15" customHeight="1" x14ac:dyDescent="0.2">
      <c r="A27" s="64">
        <v>0.3</v>
      </c>
      <c r="B27" s="56">
        <v>4</v>
      </c>
      <c r="C27" s="64">
        <v>4.07E-2</v>
      </c>
      <c r="D27" s="64">
        <v>4.41E-2</v>
      </c>
      <c r="E27" s="71">
        <v>0.34</v>
      </c>
    </row>
    <row r="28" spans="1:5" ht="15" customHeight="1" x14ac:dyDescent="0.2">
      <c r="A28" s="64">
        <v>0.3</v>
      </c>
      <c r="B28" s="56">
        <v>6</v>
      </c>
      <c r="C28" s="64">
        <v>1.4E-2</v>
      </c>
      <c r="D28" s="64">
        <v>3.7699999999999997E-2</v>
      </c>
      <c r="E28" s="71">
        <v>2.38</v>
      </c>
    </row>
    <row r="29" spans="1:5" ht="15" customHeight="1" x14ac:dyDescent="0.2">
      <c r="A29" s="64">
        <v>0.3</v>
      </c>
      <c r="B29" s="56">
        <v>8</v>
      </c>
      <c r="C29" s="64">
        <v>-6.1000000000000004E-3</v>
      </c>
      <c r="D29" s="64">
        <v>3.2099999999999997E-2</v>
      </c>
      <c r="E29" s="71">
        <v>3.82</v>
      </c>
    </row>
    <row r="30" spans="1:5" ht="15" customHeight="1" x14ac:dyDescent="0.2">
      <c r="A30" s="64">
        <v>0</v>
      </c>
      <c r="B30" s="56">
        <v>2</v>
      </c>
      <c r="C30" s="64">
        <v>-8.3999999999999995E-3</v>
      </c>
      <c r="D30" s="64">
        <v>-1.14E-2</v>
      </c>
      <c r="E30" s="71">
        <v>-0.31</v>
      </c>
    </row>
    <row r="31" spans="1:5" ht="15" customHeight="1" x14ac:dyDescent="0.2">
      <c r="A31" s="64">
        <v>0</v>
      </c>
      <c r="B31" s="56">
        <v>4</v>
      </c>
      <c r="C31" s="64">
        <v>-2.01E-2</v>
      </c>
      <c r="D31" s="64">
        <v>-1.41E-2</v>
      </c>
      <c r="E31" s="71">
        <v>0.6</v>
      </c>
    </row>
    <row r="32" spans="1:5" ht="15" customHeight="1" x14ac:dyDescent="0.2">
      <c r="A32" s="64">
        <v>0</v>
      </c>
      <c r="B32" s="56">
        <v>6</v>
      </c>
      <c r="C32" s="64">
        <v>-3.0499999999999999E-2</v>
      </c>
      <c r="D32" s="64">
        <v>-1.67E-2</v>
      </c>
      <c r="E32" s="71">
        <v>1.38</v>
      </c>
    </row>
    <row r="33" spans="1:5" ht="15" customHeight="1" x14ac:dyDescent="0.2">
      <c r="A33" s="64">
        <v>0</v>
      </c>
      <c r="B33" s="56">
        <v>8</v>
      </c>
      <c r="C33" s="64">
        <v>-4.0500000000000001E-2</v>
      </c>
      <c r="D33" s="64">
        <v>-1.9300000000000001E-2</v>
      </c>
      <c r="E33" s="71">
        <v>2.11</v>
      </c>
    </row>
    <row r="35" spans="1:5" ht="15" customHeight="1" x14ac:dyDescent="0.2">
      <c r="A35" s="57" t="s">
        <v>424</v>
      </c>
    </row>
    <row r="36" spans="1:5" ht="15" customHeight="1" x14ac:dyDescent="0.2">
      <c r="A36" s="43" t="s">
        <v>419</v>
      </c>
      <c r="B36" s="43" t="s">
        <v>420</v>
      </c>
      <c r="C36" s="43" t="s">
        <v>421</v>
      </c>
      <c r="D36" s="43" t="s">
        <v>422</v>
      </c>
      <c r="E36" s="43" t="s">
        <v>423</v>
      </c>
    </row>
    <row r="37" spans="1:5" ht="15" customHeight="1" x14ac:dyDescent="0.2">
      <c r="A37" s="64">
        <v>0.3</v>
      </c>
      <c r="B37" s="56">
        <v>2</v>
      </c>
      <c r="C37" s="64">
        <v>0.1133</v>
      </c>
      <c r="D37" s="64">
        <v>0.11070000000000001</v>
      </c>
      <c r="E37" s="71">
        <v>-0.26</v>
      </c>
    </row>
    <row r="38" spans="1:5" ht="15" customHeight="1" x14ac:dyDescent="0.2">
      <c r="A38" s="64">
        <v>0.3</v>
      </c>
      <c r="B38" s="56">
        <v>4</v>
      </c>
      <c r="C38" s="64">
        <v>7.6499999999999999E-2</v>
      </c>
      <c r="D38" s="64">
        <v>0.10059999999999999</v>
      </c>
      <c r="E38" s="71">
        <v>2.41</v>
      </c>
    </row>
    <row r="39" spans="1:5" ht="15" customHeight="1" x14ac:dyDescent="0.2">
      <c r="A39" s="64">
        <v>0.3</v>
      </c>
      <c r="B39" s="56">
        <v>6</v>
      </c>
      <c r="C39" s="64">
        <v>4.4299999999999999E-2</v>
      </c>
      <c r="D39" s="64">
        <v>8.9800000000000005E-2</v>
      </c>
      <c r="E39" s="71">
        <v>4.55</v>
      </c>
    </row>
    <row r="40" spans="1:5" ht="15" customHeight="1" x14ac:dyDescent="0.2">
      <c r="A40" s="64">
        <v>0.3</v>
      </c>
      <c r="B40" s="56">
        <v>8</v>
      </c>
      <c r="C40" s="64">
        <v>2.1000000000000001E-2</v>
      </c>
      <c r="D40" s="64">
        <v>8.1100000000000005E-2</v>
      </c>
      <c r="E40" s="71">
        <v>6.01</v>
      </c>
    </row>
    <row r="41" spans="1:5" ht="15" customHeight="1" x14ac:dyDescent="0.2">
      <c r="A41" s="64">
        <v>0</v>
      </c>
      <c r="B41" s="56">
        <v>2</v>
      </c>
      <c r="C41" s="64">
        <v>1.49E-2</v>
      </c>
      <c r="D41" s="64">
        <v>1.1599999999999999E-2</v>
      </c>
      <c r="E41" s="71">
        <v>-0.33</v>
      </c>
    </row>
    <row r="42" spans="1:5" ht="15" customHeight="1" x14ac:dyDescent="0.2">
      <c r="A42" s="64">
        <v>0</v>
      </c>
      <c r="B42" s="56">
        <v>4</v>
      </c>
      <c r="C42" s="64">
        <v>1.5E-3</v>
      </c>
      <c r="D42" s="64">
        <v>8.2000000000000007E-3</v>
      </c>
      <c r="E42" s="71">
        <v>0.68</v>
      </c>
    </row>
    <row r="43" spans="1:5" ht="15" customHeight="1" x14ac:dyDescent="0.2">
      <c r="A43" s="64">
        <v>0</v>
      </c>
      <c r="B43" s="56">
        <v>6</v>
      </c>
      <c r="C43" s="64">
        <v>-1.0200000000000001E-2</v>
      </c>
      <c r="D43" s="64">
        <v>5.0000000000000001E-3</v>
      </c>
      <c r="E43" s="71">
        <v>1.52</v>
      </c>
    </row>
    <row r="44" spans="1:5" ht="15" customHeight="1" x14ac:dyDescent="0.2">
      <c r="A44" s="64">
        <v>0</v>
      </c>
      <c r="B44" s="56">
        <v>8</v>
      </c>
      <c r="C44" s="64">
        <v>-2.0899999999999998E-2</v>
      </c>
      <c r="D44" s="64">
        <v>1.9E-3</v>
      </c>
      <c r="E44" s="71">
        <v>2.2799999999999998</v>
      </c>
    </row>
    <row r="46" spans="1:5" ht="15" customHeight="1" x14ac:dyDescent="0.2">
      <c r="A46" s="57" t="s">
        <v>425</v>
      </c>
    </row>
    <row r="47" spans="1:5" ht="15" customHeight="1" x14ac:dyDescent="0.2">
      <c r="A47" s="43" t="s">
        <v>419</v>
      </c>
      <c r="B47" s="43" t="s">
        <v>420</v>
      </c>
      <c r="C47" s="43" t="s">
        <v>421</v>
      </c>
      <c r="D47" s="43" t="s">
        <v>422</v>
      </c>
      <c r="E47" s="43" t="s">
        <v>423</v>
      </c>
    </row>
    <row r="48" spans="1:5" ht="15" customHeight="1" x14ac:dyDescent="0.2">
      <c r="A48" s="64">
        <v>0.3</v>
      </c>
      <c r="B48" s="56">
        <v>2</v>
      </c>
      <c r="C48" s="64">
        <v>0.15720000000000001</v>
      </c>
      <c r="D48" s="64">
        <v>0.2006</v>
      </c>
      <c r="E48" s="71">
        <v>4.3499999999999996</v>
      </c>
    </row>
    <row r="49" spans="1:5" ht="15" customHeight="1" x14ac:dyDescent="0.2">
      <c r="A49" s="64">
        <v>0.3</v>
      </c>
      <c r="B49" s="56">
        <v>4</v>
      </c>
      <c r="C49" s="64">
        <v>0.11609999999999999</v>
      </c>
      <c r="D49" s="64">
        <v>0.18820000000000001</v>
      </c>
      <c r="E49" s="71">
        <v>7.21</v>
      </c>
    </row>
    <row r="50" spans="1:5" ht="15" customHeight="1" x14ac:dyDescent="0.2">
      <c r="A50" s="64">
        <v>0.3</v>
      </c>
      <c r="B50" s="56">
        <v>6</v>
      </c>
      <c r="C50" s="64">
        <v>8.3199999999999996E-2</v>
      </c>
      <c r="D50" s="64">
        <v>0.1764</v>
      </c>
      <c r="E50" s="71">
        <v>9.32</v>
      </c>
    </row>
    <row r="51" spans="1:5" ht="15" customHeight="1" x14ac:dyDescent="0.2">
      <c r="A51" s="64">
        <v>0.3</v>
      </c>
      <c r="B51" s="56">
        <v>8</v>
      </c>
      <c r="C51" s="64">
        <v>6.1199999999999997E-2</v>
      </c>
      <c r="D51" s="64">
        <v>0.16789999999999999</v>
      </c>
      <c r="E51" s="71">
        <v>10.67</v>
      </c>
    </row>
    <row r="52" spans="1:5" ht="15" customHeight="1" x14ac:dyDescent="0.2">
      <c r="A52" s="64">
        <v>0</v>
      </c>
      <c r="B52" s="56">
        <v>2</v>
      </c>
      <c r="C52" s="64">
        <v>4.6899999999999997E-2</v>
      </c>
      <c r="D52" s="64">
        <v>5.57E-2</v>
      </c>
      <c r="E52" s="71">
        <v>0.87</v>
      </c>
    </row>
    <row r="53" spans="1:5" ht="15" customHeight="1" x14ac:dyDescent="0.2">
      <c r="A53" s="64">
        <v>0</v>
      </c>
      <c r="B53" s="56">
        <v>4</v>
      </c>
      <c r="C53" s="64">
        <v>3.4200000000000001E-2</v>
      </c>
      <c r="D53" s="64">
        <v>5.2600000000000001E-2</v>
      </c>
      <c r="E53" s="71">
        <v>1.84</v>
      </c>
    </row>
    <row r="54" spans="1:5" ht="15" customHeight="1" x14ac:dyDescent="0.2">
      <c r="A54" s="64">
        <v>0</v>
      </c>
      <c r="B54" s="56">
        <v>6</v>
      </c>
      <c r="C54" s="64">
        <v>2.3800000000000002E-2</v>
      </c>
      <c r="D54" s="64">
        <v>0.05</v>
      </c>
      <c r="E54" s="71">
        <v>2.61</v>
      </c>
    </row>
    <row r="55" spans="1:5" ht="15" customHeight="1" x14ac:dyDescent="0.2">
      <c r="A55" s="64">
        <v>0</v>
      </c>
      <c r="B55" s="56">
        <v>8</v>
      </c>
      <c r="C55" s="64">
        <v>1.49E-2</v>
      </c>
      <c r="D55" s="64">
        <v>4.7600000000000003E-2</v>
      </c>
      <c r="E55" s="71">
        <v>3.27</v>
      </c>
    </row>
    <row r="57" spans="1:5" ht="15" customHeight="1" x14ac:dyDescent="0.2">
      <c r="A57" s="42" t="s">
        <v>426</v>
      </c>
    </row>
    <row r="58" spans="1:5" ht="15" customHeight="1" x14ac:dyDescent="0.2">
      <c r="A58" s="42" t="s">
        <v>427</v>
      </c>
    </row>
    <row r="59" spans="1:5" ht="15" customHeight="1" x14ac:dyDescent="0.2">
      <c r="A59" s="42" t="s">
        <v>428</v>
      </c>
    </row>
    <row r="62" spans="1:5" ht="15" customHeight="1" x14ac:dyDescent="0.2">
      <c r="A62" s="10" t="s">
        <v>429</v>
      </c>
    </row>
    <row r="63" spans="1:5" ht="15" customHeight="1" x14ac:dyDescent="0.2">
      <c r="A63" t="s">
        <v>430</v>
      </c>
      <c r="B63" s="26">
        <f ca="1">Configurations!B16</f>
        <v>121.25624195259209</v>
      </c>
      <c r="C63" s="26">
        <f ca="1">Configurations!C16</f>
        <v>116.35372456322258</v>
      </c>
      <c r="D63" s="26">
        <f ca="1">Configurations!D16</f>
        <v>108.93487410738072</v>
      </c>
    </row>
    <row r="64" spans="1:5" ht="15" customHeight="1" x14ac:dyDescent="0.2">
      <c r="A64" t="s">
        <v>431</v>
      </c>
      <c r="B64" s="69">
        <f>D27</f>
        <v>4.41E-2</v>
      </c>
      <c r="C64" s="69">
        <f>D38</f>
        <v>0.10059999999999999</v>
      </c>
      <c r="D64" s="69">
        <f>D49</f>
        <v>0.18820000000000001</v>
      </c>
    </row>
    <row r="65" spans="1:4" ht="15" customHeight="1" x14ac:dyDescent="0.2">
      <c r="A65" t="s">
        <v>432</v>
      </c>
      <c r="B65" s="69">
        <f ca="1">B5</f>
        <v>0.11794323080526703</v>
      </c>
      <c r="C65" s="69">
        <f ca="1">C5</f>
        <v>0.24443197829527419</v>
      </c>
      <c r="D65" s="69">
        <f ca="1">D5</f>
        <v>0.3308196855407548</v>
      </c>
    </row>
    <row r="66" spans="1:4" ht="15" customHeight="1" x14ac:dyDescent="0.2">
      <c r="A66" s="27" t="s">
        <v>433</v>
      </c>
      <c r="B66" s="72">
        <f ca="1">(B65-B64)*100</f>
        <v>7.3843230805267028</v>
      </c>
      <c r="C66" s="72">
        <f ca="1">(C65-C64)*100</f>
        <v>14.38319782952742</v>
      </c>
      <c r="D66" s="72">
        <f ca="1">(D65-D64)*100</f>
        <v>14.26196855407548</v>
      </c>
    </row>
    <row r="67" spans="1:4" ht="15" customHeight="1" x14ac:dyDescent="0.2">
      <c r="A67" s="9" t="s">
        <v>434</v>
      </c>
    </row>
  </sheetData>
  <phoneticPr fontId="22" type="noConversion"/>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31"/>
  <sheetViews>
    <sheetView zoomScaleNormal="100" workbookViewId="0"/>
  </sheetViews>
  <sheetFormatPr baseColWidth="10" defaultColWidth="8.6640625" defaultRowHeight="15" x14ac:dyDescent="0.2"/>
  <cols>
    <col min="1" max="1" width="42" customWidth="1"/>
    <col min="2" max="2" width="14" customWidth="1"/>
    <col min="3" max="3" width="10" customWidth="1"/>
    <col min="4" max="4" width="95" customWidth="1"/>
  </cols>
  <sheetData>
    <row r="1" spans="1:4" ht="15" customHeight="1" x14ac:dyDescent="0.2">
      <c r="A1" s="73" t="s">
        <v>435</v>
      </c>
    </row>
    <row r="2" spans="1:4" ht="15" customHeight="1" x14ac:dyDescent="0.2">
      <c r="A2" s="74" t="s">
        <v>436</v>
      </c>
    </row>
    <row r="3" spans="1:4" ht="15" customHeight="1" x14ac:dyDescent="0.2">
      <c r="A3" s="75" t="s">
        <v>437</v>
      </c>
      <c r="B3" s="76"/>
      <c r="C3" s="76"/>
      <c r="D3" s="76"/>
    </row>
    <row r="4" spans="1:4" ht="15" customHeight="1" x14ac:dyDescent="0.2">
      <c r="A4" s="77" t="s">
        <v>438</v>
      </c>
      <c r="B4" s="78">
        <v>100</v>
      </c>
      <c r="C4" s="74" t="s">
        <v>439</v>
      </c>
      <c r="D4" s="74" t="s">
        <v>440</v>
      </c>
    </row>
    <row r="5" spans="1:4" ht="15" customHeight="1" x14ac:dyDescent="0.2">
      <c r="A5" s="77" t="s">
        <v>441</v>
      </c>
      <c r="B5" s="79">
        <v>0.9</v>
      </c>
      <c r="C5" s="74" t="s">
        <v>132</v>
      </c>
      <c r="D5" s="74" t="s">
        <v>442</v>
      </c>
    </row>
    <row r="6" spans="1:4" ht="15" customHeight="1" x14ac:dyDescent="0.2">
      <c r="A6" s="77" t="s">
        <v>443</v>
      </c>
      <c r="B6" s="78">
        <v>8760</v>
      </c>
      <c r="C6" s="74" t="s">
        <v>444</v>
      </c>
      <c r="D6" s="74" t="s">
        <v>445</v>
      </c>
    </row>
    <row r="7" spans="1:4" ht="15" customHeight="1" x14ac:dyDescent="0.2">
      <c r="A7" s="77" t="s">
        <v>446</v>
      </c>
      <c r="B7" s="77">
        <f>B4*B5*B6</f>
        <v>788400</v>
      </c>
      <c r="C7" s="74" t="s">
        <v>447</v>
      </c>
      <c r="D7" s="74" t="s">
        <v>448</v>
      </c>
    </row>
    <row r="8" spans="1:4" ht="15" customHeight="1" x14ac:dyDescent="0.2">
      <c r="A8" s="75" t="s">
        <v>449</v>
      </c>
      <c r="B8" s="76"/>
      <c r="C8" s="76"/>
      <c r="D8" s="76"/>
    </row>
    <row r="9" spans="1:4" ht="15" customHeight="1" x14ac:dyDescent="0.2">
      <c r="A9" s="77" t="s">
        <v>450</v>
      </c>
      <c r="B9" s="79">
        <v>0.26</v>
      </c>
      <c r="C9" s="74" t="s">
        <v>132</v>
      </c>
      <c r="D9" s="74" t="s">
        <v>451</v>
      </c>
    </row>
    <row r="10" spans="1:4" ht="15" customHeight="1" x14ac:dyDescent="0.2">
      <c r="A10" s="77" t="s">
        <v>452</v>
      </c>
      <c r="B10" s="79">
        <v>0.33</v>
      </c>
      <c r="C10" s="74" t="s">
        <v>132</v>
      </c>
      <c r="D10" s="74" t="s">
        <v>453</v>
      </c>
    </row>
    <row r="11" spans="1:4" ht="15" customHeight="1" x14ac:dyDescent="0.2">
      <c r="A11" s="77" t="s">
        <v>454</v>
      </c>
      <c r="B11" s="79">
        <v>0.87</v>
      </c>
      <c r="C11" s="74" t="s">
        <v>132</v>
      </c>
      <c r="D11" s="74" t="s">
        <v>455</v>
      </c>
    </row>
    <row r="12" spans="1:4" ht="15" customHeight="1" x14ac:dyDescent="0.2">
      <c r="A12" s="77" t="s">
        <v>456</v>
      </c>
      <c r="B12" s="78">
        <v>100</v>
      </c>
      <c r="C12" s="74" t="s">
        <v>439</v>
      </c>
      <c r="D12" s="74" t="s">
        <v>457</v>
      </c>
    </row>
    <row r="13" spans="1:4" ht="15" customHeight="1" x14ac:dyDescent="0.2">
      <c r="A13" s="77" t="s">
        <v>458</v>
      </c>
      <c r="B13" s="78">
        <v>150</v>
      </c>
      <c r="C13" s="74" t="s">
        <v>439</v>
      </c>
      <c r="D13" s="74" t="s">
        <v>457</v>
      </c>
    </row>
    <row r="14" spans="1:4" ht="15" customHeight="1" x14ac:dyDescent="0.2">
      <c r="A14" s="77" t="s">
        <v>459</v>
      </c>
      <c r="B14" s="78">
        <v>100</v>
      </c>
      <c r="C14" s="74" t="s">
        <v>439</v>
      </c>
      <c r="D14" s="74" t="s">
        <v>457</v>
      </c>
    </row>
    <row r="15" spans="1:4" ht="15" customHeight="1" x14ac:dyDescent="0.2">
      <c r="A15" s="77" t="s">
        <v>460</v>
      </c>
      <c r="B15" s="79">
        <v>0.875</v>
      </c>
      <c r="C15" s="74" t="s">
        <v>132</v>
      </c>
      <c r="D15" s="74" t="s">
        <v>461</v>
      </c>
    </row>
    <row r="16" spans="1:4" ht="15" customHeight="1" x14ac:dyDescent="0.2">
      <c r="A16" s="75" t="s">
        <v>462</v>
      </c>
      <c r="B16" s="76"/>
      <c r="C16" s="76"/>
      <c r="D16" s="76"/>
    </row>
    <row r="17" spans="1:4" ht="15" customHeight="1" x14ac:dyDescent="0.2">
      <c r="A17" s="77" t="s">
        <v>463</v>
      </c>
      <c r="B17" s="78">
        <v>15.575100000000001</v>
      </c>
      <c r="C17" s="74" t="s">
        <v>67</v>
      </c>
      <c r="D17" s="74" t="s">
        <v>464</v>
      </c>
    </row>
    <row r="18" spans="1:4" ht="15" customHeight="1" x14ac:dyDescent="0.2">
      <c r="A18" s="77" t="s">
        <v>465</v>
      </c>
      <c r="B18" s="78">
        <v>25.19</v>
      </c>
      <c r="C18" s="74" t="s">
        <v>466</v>
      </c>
      <c r="D18" s="74" t="s">
        <v>467</v>
      </c>
    </row>
    <row r="19" spans="1:4" ht="15" customHeight="1" x14ac:dyDescent="0.2">
      <c r="A19" s="77" t="s">
        <v>468</v>
      </c>
      <c r="B19" s="80">
        <v>0.18</v>
      </c>
      <c r="C19" s="74" t="s">
        <v>132</v>
      </c>
      <c r="D19" s="74" t="s">
        <v>469</v>
      </c>
    </row>
    <row r="20" spans="1:4" ht="15" customHeight="1" x14ac:dyDescent="0.2">
      <c r="A20" s="77" t="s">
        <v>470</v>
      </c>
      <c r="B20" s="78">
        <v>236.91</v>
      </c>
      <c r="C20" s="74" t="s">
        <v>67</v>
      </c>
      <c r="D20" s="74" t="s">
        <v>471</v>
      </c>
    </row>
    <row r="21" spans="1:4" ht="15" customHeight="1" x14ac:dyDescent="0.2">
      <c r="A21" s="77" t="s">
        <v>472</v>
      </c>
      <c r="B21" s="78">
        <v>215.3</v>
      </c>
      <c r="C21" s="74" t="s">
        <v>67</v>
      </c>
      <c r="D21" s="74" t="s">
        <v>473</v>
      </c>
    </row>
    <row r="22" spans="1:4" ht="15" customHeight="1" x14ac:dyDescent="0.2">
      <c r="A22" s="77" t="s">
        <v>474</v>
      </c>
      <c r="B22" s="81">
        <v>23</v>
      </c>
      <c r="C22" s="74" t="s">
        <v>67</v>
      </c>
      <c r="D22" s="74" t="s">
        <v>475</v>
      </c>
    </row>
    <row r="23" spans="1:4" ht="15" customHeight="1" x14ac:dyDescent="0.2">
      <c r="A23" s="75" t="s">
        <v>476</v>
      </c>
      <c r="B23" s="76"/>
      <c r="C23" s="76"/>
      <c r="D23" s="76"/>
    </row>
    <row r="24" spans="1:4" ht="15" customHeight="1" x14ac:dyDescent="0.2">
      <c r="A24" s="77" t="s">
        <v>477</v>
      </c>
      <c r="B24" s="81">
        <v>70</v>
      </c>
      <c r="C24" s="74" t="s">
        <v>67</v>
      </c>
      <c r="D24" s="74" t="s">
        <v>478</v>
      </c>
    </row>
    <row r="25" spans="1:4" ht="15" customHeight="1" x14ac:dyDescent="0.2">
      <c r="A25" s="77" t="s">
        <v>479</v>
      </c>
      <c r="B25" s="81">
        <v>62</v>
      </c>
      <c r="C25" s="74" t="s">
        <v>67</v>
      </c>
      <c r="D25" s="74" t="s">
        <v>480</v>
      </c>
    </row>
    <row r="26" spans="1:4" ht="15" customHeight="1" x14ac:dyDescent="0.2">
      <c r="A26" s="77" t="s">
        <v>481</v>
      </c>
      <c r="B26" s="81">
        <v>1.5</v>
      </c>
      <c r="C26" s="74" t="s">
        <v>67</v>
      </c>
      <c r="D26" s="74" t="s">
        <v>482</v>
      </c>
    </row>
    <row r="27" spans="1:4" ht="15" customHeight="1" x14ac:dyDescent="0.2">
      <c r="A27" s="77" t="s">
        <v>483</v>
      </c>
      <c r="B27" s="81">
        <v>0.5</v>
      </c>
      <c r="C27" s="74" t="s">
        <v>67</v>
      </c>
      <c r="D27" s="74" t="s">
        <v>484</v>
      </c>
    </row>
    <row r="28" spans="1:4" ht="15" customHeight="1" x14ac:dyDescent="0.2">
      <c r="A28" s="77" t="s">
        <v>485</v>
      </c>
      <c r="B28" s="81">
        <v>7</v>
      </c>
      <c r="C28" s="74" t="s">
        <v>67</v>
      </c>
      <c r="D28" s="74" t="s">
        <v>486</v>
      </c>
    </row>
    <row r="29" spans="1:4" ht="15" customHeight="1" x14ac:dyDescent="0.2">
      <c r="A29" s="77" t="s">
        <v>487</v>
      </c>
      <c r="B29" s="81">
        <v>3.5</v>
      </c>
      <c r="C29" s="74" t="s">
        <v>67</v>
      </c>
      <c r="D29" s="74" t="s">
        <v>488</v>
      </c>
    </row>
    <row r="30" spans="1:4" ht="15" customHeight="1" x14ac:dyDescent="0.2">
      <c r="A30" s="77" t="s">
        <v>489</v>
      </c>
      <c r="B30" s="81">
        <v>300</v>
      </c>
      <c r="C30" s="74" t="s">
        <v>67</v>
      </c>
      <c r="D30" s="74" t="s">
        <v>490</v>
      </c>
    </row>
    <row r="31" spans="1:4" ht="15" customHeight="1" x14ac:dyDescent="0.2">
      <c r="A31" s="77" t="s">
        <v>491</v>
      </c>
      <c r="B31" s="81">
        <v>5</v>
      </c>
      <c r="C31" s="74" t="s">
        <v>67</v>
      </c>
      <c r="D31" s="74" t="s">
        <v>492</v>
      </c>
    </row>
  </sheetData>
  <phoneticPr fontId="22" type="noConversion"/>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0"/>
  <sheetViews>
    <sheetView zoomScaleNormal="100" workbookViewId="0"/>
  </sheetViews>
  <sheetFormatPr baseColWidth="10" defaultColWidth="8.6640625" defaultRowHeight="15" x14ac:dyDescent="0.2"/>
  <cols>
    <col min="1" max="1" width="40" customWidth="1"/>
    <col min="2" max="2" width="14" customWidth="1"/>
  </cols>
  <sheetData>
    <row r="1" spans="1:4" ht="15" customHeight="1" x14ac:dyDescent="0.2">
      <c r="A1" s="73" t="s">
        <v>493</v>
      </c>
    </row>
    <row r="2" spans="1:4" ht="15" customHeight="1" x14ac:dyDescent="0.2">
      <c r="A2" s="74" t="s">
        <v>494</v>
      </c>
    </row>
    <row r="4" spans="1:4" ht="15" customHeight="1" x14ac:dyDescent="0.2">
      <c r="A4" s="27"/>
      <c r="B4" s="75" t="s">
        <v>495</v>
      </c>
      <c r="C4" s="75" t="s">
        <v>496</v>
      </c>
      <c r="D4" s="75" t="s">
        <v>497</v>
      </c>
    </row>
    <row r="5" spans="1:4" ht="15" customHeight="1" x14ac:dyDescent="0.2">
      <c r="A5" s="77" t="s">
        <v>319</v>
      </c>
      <c r="B5" s="82">
        <f>M3_Inputs!B12</f>
        <v>100</v>
      </c>
      <c r="C5" s="82">
        <f>M3_Inputs!B13</f>
        <v>150</v>
      </c>
      <c r="D5" s="82">
        <f>M3_Inputs!B14</f>
        <v>100</v>
      </c>
    </row>
    <row r="6" spans="1:4" ht="15" customHeight="1" x14ac:dyDescent="0.2">
      <c r="A6" s="77" t="s">
        <v>498</v>
      </c>
      <c r="B6" s="69">
        <f>M3_Inputs!B9</f>
        <v>0.26</v>
      </c>
      <c r="C6" s="69">
        <f>M3_Inputs!B10</f>
        <v>0.33</v>
      </c>
      <c r="D6" s="69">
        <f>M3_Inputs!B11</f>
        <v>0.87</v>
      </c>
    </row>
    <row r="7" spans="1:4" ht="15" customHeight="1" x14ac:dyDescent="0.2">
      <c r="A7" s="77" t="s">
        <v>499</v>
      </c>
      <c r="B7" s="83">
        <f>B5*B6*M3_Inputs!$B$6</f>
        <v>227760</v>
      </c>
      <c r="C7" s="83">
        <f>C5*C6*M3_Inputs!$B$6</f>
        <v>433620</v>
      </c>
      <c r="D7" s="83">
        <f>D5*D6*M3_Inputs!$B$6</f>
        <v>762120</v>
      </c>
    </row>
    <row r="8" spans="1:4" ht="15" customHeight="1" x14ac:dyDescent="0.2">
      <c r="A8" s="77" t="s">
        <v>500</v>
      </c>
      <c r="B8" s="83">
        <f>M3_Inputs!$B$7</f>
        <v>788400</v>
      </c>
      <c r="C8" s="83">
        <f>M3_Inputs!$B$7</f>
        <v>788400</v>
      </c>
      <c r="D8" s="83">
        <f>M3_Inputs!$B$7</f>
        <v>788400</v>
      </c>
    </row>
    <row r="9" spans="1:4" ht="15" customHeight="1" x14ac:dyDescent="0.2">
      <c r="A9" s="27" t="s">
        <v>501</v>
      </c>
      <c r="B9" s="84">
        <f>MIN(1,B7/B8)</f>
        <v>0.28888888888888886</v>
      </c>
      <c r="C9" s="84">
        <f>MIN(1,C7/C8)</f>
        <v>0.55000000000000004</v>
      </c>
      <c r="D9" s="84">
        <f>MIN(1,D7/D8)</f>
        <v>0.96666666666666667</v>
      </c>
    </row>
    <row r="10" spans="1:4" ht="15" customHeight="1" x14ac:dyDescent="0.2">
      <c r="A10" s="27" t="s">
        <v>502</v>
      </c>
      <c r="B10" s="84">
        <f>1-B9</f>
        <v>0.71111111111111114</v>
      </c>
      <c r="C10" s="84">
        <f>1-C9</f>
        <v>0.44999999999999996</v>
      </c>
      <c r="D10" s="84">
        <f>1-D9</f>
        <v>3.3333333333333326E-2</v>
      </c>
    </row>
  </sheetData>
  <phoneticPr fontId="22" type="noConversion"/>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22"/>
  <sheetViews>
    <sheetView zoomScaleNormal="100" workbookViewId="0"/>
  </sheetViews>
  <sheetFormatPr baseColWidth="10" defaultColWidth="8.6640625" defaultRowHeight="15" x14ac:dyDescent="0.2"/>
  <cols>
    <col min="1" max="1" width="46" customWidth="1"/>
    <col min="2" max="2" width="16" customWidth="1"/>
    <col min="3" max="3" width="80" customWidth="1"/>
  </cols>
  <sheetData>
    <row r="1" spans="1:3" ht="15" customHeight="1" x14ac:dyDescent="0.2">
      <c r="A1" s="73" t="s">
        <v>503</v>
      </c>
    </row>
    <row r="3" spans="1:3" ht="15" customHeight="1" x14ac:dyDescent="0.2">
      <c r="A3" s="27" t="s">
        <v>504</v>
      </c>
      <c r="B3" s="85">
        <f>M3_Inputs!B20</f>
        <v>236.91</v>
      </c>
      <c r="C3" s="74" t="s">
        <v>505</v>
      </c>
    </row>
    <row r="4" spans="1:3" ht="15" customHeight="1" x14ac:dyDescent="0.2">
      <c r="A4" s="77" t="s">
        <v>506</v>
      </c>
      <c r="B4" s="82">
        <f>M3_Inputs!B21</f>
        <v>215.3</v>
      </c>
    </row>
    <row r="7" spans="1:3" ht="15" customHeight="1" x14ac:dyDescent="0.2">
      <c r="A7" s="73" t="s">
        <v>507</v>
      </c>
    </row>
    <row r="8" spans="1:3" ht="15" customHeight="1" x14ac:dyDescent="0.2">
      <c r="A8" s="74" t="s">
        <v>508</v>
      </c>
    </row>
    <row r="10" spans="1:3" ht="15" customHeight="1" x14ac:dyDescent="0.2">
      <c r="A10" s="77" t="s">
        <v>509</v>
      </c>
      <c r="B10" s="82">
        <f>M3_Inputs!B24</f>
        <v>70</v>
      </c>
      <c r="C10" s="74" t="s">
        <v>510</v>
      </c>
    </row>
    <row r="11" spans="1:3" ht="15" customHeight="1" x14ac:dyDescent="0.2">
      <c r="A11" s="77" t="s">
        <v>511</v>
      </c>
      <c r="B11" s="82">
        <f>M3_Inputs!B17</f>
        <v>15.575100000000001</v>
      </c>
      <c r="C11" s="74" t="s">
        <v>512</v>
      </c>
    </row>
    <row r="12" spans="1:3" ht="15" customHeight="1" x14ac:dyDescent="0.2">
      <c r="A12" s="77" t="s">
        <v>513</v>
      </c>
      <c r="B12" s="82">
        <f>M3_Inputs!B22</f>
        <v>23</v>
      </c>
      <c r="C12" s="74" t="s">
        <v>514</v>
      </c>
    </row>
    <row r="13" spans="1:3" ht="15" customHeight="1" x14ac:dyDescent="0.2">
      <c r="A13" s="77" t="s">
        <v>515</v>
      </c>
      <c r="B13" s="82">
        <f>M3_Inputs!B4*1000*(1+M3_Inputs!B19)*M3_Inputs!B18*12/M3_Inputs!B7</f>
        <v>45.242313546423134</v>
      </c>
      <c r="C13" s="74" t="s">
        <v>516</v>
      </c>
    </row>
    <row r="14" spans="1:3" ht="15" customHeight="1" x14ac:dyDescent="0.2">
      <c r="A14" s="77" t="s">
        <v>517</v>
      </c>
      <c r="B14" s="82">
        <f>M3_Inputs!B26</f>
        <v>1.5</v>
      </c>
      <c r="C14" s="74" t="s">
        <v>518</v>
      </c>
    </row>
    <row r="15" spans="1:3" ht="15" customHeight="1" x14ac:dyDescent="0.2">
      <c r="A15" s="77" t="s">
        <v>519</v>
      </c>
      <c r="B15" s="82">
        <f>M3_Inputs!B27</f>
        <v>0.5</v>
      </c>
      <c r="C15" s="74" t="s">
        <v>518</v>
      </c>
    </row>
    <row r="16" spans="1:3" ht="15" customHeight="1" x14ac:dyDescent="0.2">
      <c r="A16" s="77" t="s">
        <v>520</v>
      </c>
      <c r="B16" s="82">
        <f>M3_Inputs!B28</f>
        <v>7</v>
      </c>
      <c r="C16" s="74" t="s">
        <v>518</v>
      </c>
    </row>
    <row r="17" spans="1:2" ht="15" customHeight="1" x14ac:dyDescent="0.2">
      <c r="A17" s="27" t="s">
        <v>521</v>
      </c>
      <c r="B17" s="86">
        <f>SUM(B10:B16)</f>
        <v>162.81741354642315</v>
      </c>
    </row>
    <row r="19" spans="1:2" ht="15" customHeight="1" x14ac:dyDescent="0.2">
      <c r="A19" s="87" t="s">
        <v>522</v>
      </c>
    </row>
    <row r="20" spans="1:2" ht="15" customHeight="1" x14ac:dyDescent="0.2">
      <c r="A20" s="74" t="s">
        <v>523</v>
      </c>
    </row>
    <row r="22" spans="1:2" ht="15" customHeight="1" x14ac:dyDescent="0.2">
      <c r="A22" s="74" t="s">
        <v>524</v>
      </c>
    </row>
  </sheetData>
  <phoneticPr fontId="22" type="noConversion"/>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0"/>
  <sheetViews>
    <sheetView zoomScaleNormal="100" workbookViewId="0"/>
  </sheetViews>
  <sheetFormatPr baseColWidth="10" defaultColWidth="8.6640625" defaultRowHeight="15" x14ac:dyDescent="0.2"/>
  <cols>
    <col min="1" max="1" width="46" customWidth="1"/>
    <col min="2" max="2" width="14" customWidth="1"/>
    <col min="5" max="5" width="70" customWidth="1"/>
  </cols>
  <sheetData>
    <row r="1" spans="1:4" ht="15" customHeight="1" x14ac:dyDescent="0.2">
      <c r="A1" s="73" t="s">
        <v>525</v>
      </c>
    </row>
    <row r="2" spans="1:4" ht="15" customHeight="1" x14ac:dyDescent="0.2">
      <c r="A2" s="74" t="s">
        <v>526</v>
      </c>
    </row>
    <row r="4" spans="1:4" ht="15" customHeight="1" x14ac:dyDescent="0.2">
      <c r="B4" s="75" t="s">
        <v>495</v>
      </c>
      <c r="C4" s="75" t="s">
        <v>496</v>
      </c>
      <c r="D4" s="75" t="s">
        <v>497</v>
      </c>
    </row>
    <row r="5" spans="1:4" ht="15" customHeight="1" x14ac:dyDescent="0.2">
      <c r="A5" s="77" t="s">
        <v>527</v>
      </c>
      <c r="B5" s="69">
        <f>M3_Coverage!B9</f>
        <v>0.28888888888888886</v>
      </c>
      <c r="C5" s="69">
        <f>M3_Coverage!C9</f>
        <v>0.55000000000000004</v>
      </c>
      <c r="D5" s="69">
        <f>M3_Coverage!D9</f>
        <v>0.96666666666666667</v>
      </c>
    </row>
    <row r="7" spans="1:4" ht="15" customHeight="1" x14ac:dyDescent="0.2">
      <c r="A7" s="75" t="s">
        <v>528</v>
      </c>
      <c r="B7" s="76"/>
      <c r="C7" s="76"/>
      <c r="D7" s="76"/>
    </row>
    <row r="8" spans="1:4" ht="15" customHeight="1" x14ac:dyDescent="0.2">
      <c r="A8" s="77" t="s">
        <v>529</v>
      </c>
      <c r="B8" s="82">
        <f>B5*M3_Inputs!$B$25</f>
        <v>17.911111111111108</v>
      </c>
      <c r="C8" s="82">
        <f>C5*M3_Inputs!$B$25</f>
        <v>34.1</v>
      </c>
      <c r="D8" s="82">
        <f>D5*M3_Inputs!$B$25</f>
        <v>59.933333333333337</v>
      </c>
    </row>
    <row r="9" spans="1:4" ht="15" customHeight="1" x14ac:dyDescent="0.2">
      <c r="A9" s="77" t="s">
        <v>530</v>
      </c>
      <c r="B9" s="82">
        <f>(1-B5)*M3_Inputs!$B$30</f>
        <v>213.33333333333334</v>
      </c>
      <c r="C9" s="82">
        <f>(1-C5)*M3_Inputs!$B$30</f>
        <v>135</v>
      </c>
      <c r="D9" s="82">
        <f>(1-D5)*M3_Inputs!$B$30</f>
        <v>9.9999999999999982</v>
      </c>
    </row>
    <row r="10" spans="1:4" ht="15" customHeight="1" x14ac:dyDescent="0.2">
      <c r="A10" s="77" t="s">
        <v>531</v>
      </c>
      <c r="B10" s="82">
        <f>M3_Inputs!$B$29</f>
        <v>3.5</v>
      </c>
      <c r="C10" s="82">
        <f>M3_Inputs!$B$29</f>
        <v>3.5</v>
      </c>
      <c r="D10" s="82">
        <f>M3_Inputs!$B$29</f>
        <v>3.5</v>
      </c>
    </row>
    <row r="11" spans="1:4" ht="15" customHeight="1" x14ac:dyDescent="0.2">
      <c r="A11" s="27" t="s">
        <v>532</v>
      </c>
      <c r="B11" s="85">
        <f>SUM(B8:B10)</f>
        <v>234.74444444444444</v>
      </c>
      <c r="C11" s="85">
        <f>SUM(C8:C10)</f>
        <v>172.6</v>
      </c>
      <c r="D11" s="85">
        <f>SUM(D8:D10)</f>
        <v>73.433333333333337</v>
      </c>
    </row>
    <row r="13" spans="1:4" ht="15" customHeight="1" x14ac:dyDescent="0.2">
      <c r="A13" s="75" t="s">
        <v>533</v>
      </c>
      <c r="B13" s="76"/>
      <c r="C13" s="76"/>
      <c r="D13" s="76"/>
    </row>
    <row r="14" spans="1:4" ht="15" customHeight="1" x14ac:dyDescent="0.2">
      <c r="A14" s="77" t="s">
        <v>529</v>
      </c>
      <c r="B14" s="82">
        <f>B5*M3_Inputs!$B$25</f>
        <v>17.911111111111108</v>
      </c>
      <c r="C14" s="82">
        <f>C5*M3_Inputs!$B$25</f>
        <v>34.1</v>
      </c>
      <c r="D14" s="82">
        <f>D5*M3_Inputs!$B$25</f>
        <v>59.933333333333337</v>
      </c>
    </row>
    <row r="15" spans="1:4" ht="15" customHeight="1" x14ac:dyDescent="0.2">
      <c r="A15" s="77" t="s">
        <v>534</v>
      </c>
      <c r="B15" s="82">
        <f>(1-B5)*(M3_Inputs!$B$24+M3_Inputs!$B$17+M3_Inputs!$B$22)</f>
        <v>77.208960000000005</v>
      </c>
      <c r="C15" s="82">
        <f>(1-C5)*(M3_Inputs!$B$24+M3_Inputs!$B$17+M3_Inputs!$B$22)</f>
        <v>48.858795000000001</v>
      </c>
      <c r="D15" s="82">
        <f>(1-D5)*(M3_Inputs!$B$24+M3_Inputs!$B$17+M3_Inputs!$B$22)</f>
        <v>3.6191699999999996</v>
      </c>
    </row>
    <row r="16" spans="1:4" ht="15" customHeight="1" x14ac:dyDescent="0.2">
      <c r="A16" s="77" t="s">
        <v>535</v>
      </c>
      <c r="B16" s="82">
        <f>M3_Inputs!$B$31</f>
        <v>5</v>
      </c>
      <c r="C16" s="82">
        <f>M3_Inputs!$B$31</f>
        <v>5</v>
      </c>
      <c r="D16" s="82">
        <f>M3_Inputs!$B$31</f>
        <v>5</v>
      </c>
    </row>
    <row r="17" spans="1:4" ht="15" customHeight="1" x14ac:dyDescent="0.2">
      <c r="A17" s="77" t="s">
        <v>531</v>
      </c>
      <c r="B17" s="82">
        <f>M3_Inputs!$B$29</f>
        <v>3.5</v>
      </c>
      <c r="C17" s="82">
        <f>M3_Inputs!$B$29</f>
        <v>3.5</v>
      </c>
      <c r="D17" s="82">
        <f>M3_Inputs!$B$29</f>
        <v>3.5</v>
      </c>
    </row>
    <row r="18" spans="1:4" ht="15" customHeight="1" x14ac:dyDescent="0.2">
      <c r="A18" s="27" t="s">
        <v>536</v>
      </c>
      <c r="B18" s="85">
        <f>SUM(B14:B17)</f>
        <v>103.62007111111112</v>
      </c>
      <c r="C18" s="85">
        <f>SUM(C14:C17)</f>
        <v>91.458795000000009</v>
      </c>
      <c r="D18" s="85">
        <f>SUM(D14:D17)</f>
        <v>72.052503333333334</v>
      </c>
    </row>
    <row r="20" spans="1:4" ht="15" customHeight="1" x14ac:dyDescent="0.2">
      <c r="A20" s="74" t="s">
        <v>537</v>
      </c>
    </row>
  </sheetData>
  <phoneticPr fontId="22" type="noConversion"/>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7"/>
  <sheetViews>
    <sheetView zoomScaleNormal="100" workbookViewId="0"/>
  </sheetViews>
  <sheetFormatPr baseColWidth="10" defaultColWidth="8.6640625" defaultRowHeight="15" x14ac:dyDescent="0.2"/>
  <cols>
    <col min="1" max="1" width="50" customWidth="1"/>
    <col min="2" max="2" width="14" customWidth="1"/>
  </cols>
  <sheetData>
    <row r="1" spans="1:4" ht="15" customHeight="1" x14ac:dyDescent="0.2">
      <c r="A1" s="73" t="s">
        <v>538</v>
      </c>
    </row>
    <row r="3" spans="1:4" ht="15" customHeight="1" x14ac:dyDescent="0.2">
      <c r="B3" s="75" t="s">
        <v>495</v>
      </c>
      <c r="C3" s="75" t="s">
        <v>496</v>
      </c>
      <c r="D3" s="75" t="s">
        <v>497</v>
      </c>
    </row>
    <row r="4" spans="1:4" ht="15" customHeight="1" x14ac:dyDescent="0.2">
      <c r="A4" s="77" t="s">
        <v>539</v>
      </c>
      <c r="B4" s="82">
        <f>M3_StructA_B!$B$3</f>
        <v>236.91</v>
      </c>
      <c r="C4" s="82">
        <f>M3_StructA_B!$B$3</f>
        <v>236.91</v>
      </c>
      <c r="D4" s="82">
        <f>M3_StructA_B!$B$3</f>
        <v>236.91</v>
      </c>
    </row>
    <row r="5" spans="1:4" ht="15" customHeight="1" x14ac:dyDescent="0.2">
      <c r="A5" s="77" t="s">
        <v>540</v>
      </c>
      <c r="B5" s="82">
        <f>M3_StructA_B!$B$17</f>
        <v>162.81741354642315</v>
      </c>
      <c r="C5" s="82">
        <f>M3_StructA_B!$B$17</f>
        <v>162.81741354642315</v>
      </c>
      <c r="D5" s="82">
        <f>M3_StructA_B!$B$17</f>
        <v>162.81741354642315</v>
      </c>
    </row>
    <row r="6" spans="1:4" ht="15" customHeight="1" x14ac:dyDescent="0.2">
      <c r="A6" s="77" t="s">
        <v>541</v>
      </c>
      <c r="B6" s="82">
        <f>M3_StructC!B11</f>
        <v>234.74444444444444</v>
      </c>
      <c r="C6" s="82">
        <f>M3_StructC!C11</f>
        <v>172.6</v>
      </c>
      <c r="D6" s="82">
        <f>M3_StructC!D11</f>
        <v>73.433333333333337</v>
      </c>
    </row>
    <row r="7" spans="1:4" ht="15" customHeight="1" x14ac:dyDescent="0.2">
      <c r="A7" s="77" t="s">
        <v>542</v>
      </c>
      <c r="B7" s="82">
        <f>M3_StructC!B18</f>
        <v>103.62007111111112</v>
      </c>
      <c r="C7" s="82">
        <f>M3_StructC!C18</f>
        <v>91.458795000000009</v>
      </c>
      <c r="D7" s="82">
        <f>M3_StructC!D18</f>
        <v>72.052503333333334</v>
      </c>
    </row>
    <row r="9" spans="1:4" ht="15" customHeight="1" x14ac:dyDescent="0.2">
      <c r="A9" s="75" t="s">
        <v>543</v>
      </c>
      <c r="B9" s="76"/>
      <c r="C9" s="76"/>
      <c r="D9" s="76"/>
    </row>
    <row r="10" spans="1:4" ht="15" customHeight="1" x14ac:dyDescent="0.2">
      <c r="A10" s="77" t="s">
        <v>544</v>
      </c>
      <c r="B10" s="69">
        <f>(B5-B6)/B5</f>
        <v>-0.441764976677468</v>
      </c>
      <c r="C10" s="69">
        <f>(C5-C6)/C5</f>
        <v>-6.0083170715567166E-2</v>
      </c>
      <c r="D10" s="69">
        <f>(D5-D6)/D5</f>
        <v>0.54898354092576385</v>
      </c>
    </row>
    <row r="11" spans="1:4" ht="15" customHeight="1" x14ac:dyDescent="0.2">
      <c r="A11" s="77" t="s">
        <v>545</v>
      </c>
      <c r="B11" s="69">
        <f>(B5-B7)/B5</f>
        <v>0.36358114986535794</v>
      </c>
      <c r="C11" s="69">
        <f>(C5-C7)/C5</f>
        <v>0.43827387373450133</v>
      </c>
      <c r="D11" s="69">
        <f>(D5-D7)/D5</f>
        <v>0.55746439054696417</v>
      </c>
    </row>
    <row r="12" spans="1:4" ht="15" customHeight="1" x14ac:dyDescent="0.2">
      <c r="A12" s="77" t="s">
        <v>546</v>
      </c>
      <c r="B12" s="69">
        <f>(M3_Inputs!$B$24-B6)/M3_Inputs!$B$24</f>
        <v>-2.3534920634920633</v>
      </c>
      <c r="C12" s="69">
        <f>(M3_Inputs!$B$24-C6)/M3_Inputs!$B$24</f>
        <v>-1.4657142857142855</v>
      </c>
      <c r="D12" s="69">
        <f>(M3_Inputs!$B$24-D6)/M3_Inputs!$B$24</f>
        <v>-4.9047619047619104E-2</v>
      </c>
    </row>
    <row r="13" spans="1:4" ht="15" customHeight="1" x14ac:dyDescent="0.2">
      <c r="A13" s="77" t="s">
        <v>547</v>
      </c>
      <c r="B13" s="69">
        <f>(M3_Inputs!$B$24-B7)/M3_Inputs!$B$24</f>
        <v>-0.48028673015873025</v>
      </c>
      <c r="C13" s="69">
        <f>(M3_Inputs!$B$24-C7)/M3_Inputs!$B$24</f>
        <v>-0.30655421428571444</v>
      </c>
      <c r="D13" s="69">
        <f>(M3_Inputs!$B$24-D7)/M3_Inputs!$B$24</f>
        <v>-2.93214761904762E-2</v>
      </c>
    </row>
    <row r="14" spans="1:4" ht="15" customHeight="1" x14ac:dyDescent="0.2">
      <c r="A14" s="77" t="s">
        <v>548</v>
      </c>
      <c r="B14" t="str">
        <f>IF(B10&gt;=0.2,"YES","NO")</f>
        <v>NO</v>
      </c>
      <c r="C14" t="str">
        <f>IF(C10&gt;=0.2,"YES","NO")</f>
        <v>NO</v>
      </c>
      <c r="D14" t="str">
        <f>IF(D10&gt;=0.2,"YES","NO")</f>
        <v>YES</v>
      </c>
    </row>
    <row r="16" spans="1:4" ht="15" customHeight="1" x14ac:dyDescent="0.2">
      <c r="A16" s="27" t="s">
        <v>549</v>
      </c>
    </row>
    <row r="17" spans="1:1" ht="15" customHeight="1" x14ac:dyDescent="0.2">
      <c r="A17" s="74" t="s">
        <v>550</v>
      </c>
    </row>
  </sheetData>
  <phoneticPr fontId="22" type="noConversion"/>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42"/>
  <sheetViews>
    <sheetView zoomScaleNormal="100" workbookViewId="0"/>
  </sheetViews>
  <sheetFormatPr baseColWidth="10" defaultColWidth="8.6640625" defaultRowHeight="15" x14ac:dyDescent="0.2"/>
  <cols>
    <col min="1" max="1" width="42" customWidth="1"/>
    <col min="2" max="4" width="18" customWidth="1"/>
    <col min="5" max="5" width="85" customWidth="1"/>
  </cols>
  <sheetData>
    <row r="1" spans="1:5" ht="15.75" customHeight="1" x14ac:dyDescent="0.2">
      <c r="A1" s="7" t="s">
        <v>551</v>
      </c>
      <c r="E1" s="8"/>
    </row>
    <row r="2" spans="1:5" ht="15" customHeight="1" x14ac:dyDescent="0.2">
      <c r="A2" s="9" t="s">
        <v>552</v>
      </c>
      <c r="E2" s="8"/>
    </row>
    <row r="3" spans="1:5" ht="15" customHeight="1" x14ac:dyDescent="0.2">
      <c r="E3" s="8"/>
    </row>
    <row r="4" spans="1:5" ht="15" customHeight="1" x14ac:dyDescent="0.2">
      <c r="A4" s="10" t="s">
        <v>553</v>
      </c>
      <c r="E4" s="8"/>
    </row>
    <row r="5" spans="1:5" ht="15" customHeight="1" x14ac:dyDescent="0.2">
      <c r="A5" s="13" t="s">
        <v>554</v>
      </c>
      <c r="B5" s="88">
        <f>Inputs!B24</f>
        <v>0.08</v>
      </c>
      <c r="C5" s="13" t="s">
        <v>132</v>
      </c>
      <c r="D5" s="9" t="s">
        <v>555</v>
      </c>
      <c r="E5" s="8"/>
    </row>
    <row r="6" spans="1:5" ht="15" customHeight="1" x14ac:dyDescent="0.2">
      <c r="A6" s="13" t="s">
        <v>443</v>
      </c>
      <c r="B6" s="22">
        <v>8760</v>
      </c>
      <c r="C6" s="13" t="s">
        <v>444</v>
      </c>
      <c r="E6" s="8"/>
    </row>
    <row r="7" spans="1:5" ht="15" customHeight="1" x14ac:dyDescent="0.2">
      <c r="E7" s="8"/>
    </row>
    <row r="8" spans="1:5" ht="15" customHeight="1" x14ac:dyDescent="0.2">
      <c r="A8" s="10" t="s">
        <v>556</v>
      </c>
      <c r="E8" s="8"/>
    </row>
    <row r="9" spans="1:5" ht="15" customHeight="1" x14ac:dyDescent="0.2">
      <c r="A9" s="11"/>
      <c r="B9" s="11" t="s">
        <v>315</v>
      </c>
      <c r="C9" s="11" t="s">
        <v>316</v>
      </c>
      <c r="D9" s="11" t="s">
        <v>557</v>
      </c>
      <c r="E9" s="12" t="s">
        <v>558</v>
      </c>
    </row>
    <row r="10" spans="1:5" ht="15" customHeight="1" x14ac:dyDescent="0.2">
      <c r="A10" s="13" t="s">
        <v>319</v>
      </c>
      <c r="B10" s="89">
        <f>Configurations!B4</f>
        <v>100</v>
      </c>
      <c r="C10" s="89">
        <f>Configurations!C4</f>
        <v>150</v>
      </c>
      <c r="D10" s="89">
        <f>Configurations!D4</f>
        <v>100</v>
      </c>
      <c r="E10" s="15" t="s">
        <v>559</v>
      </c>
    </row>
    <row r="11" spans="1:5" ht="15" customHeight="1" x14ac:dyDescent="0.2">
      <c r="A11" s="13" t="s">
        <v>321</v>
      </c>
      <c r="B11" s="88">
        <f>Configurations!B5</f>
        <v>0.27500000000000002</v>
      </c>
      <c r="C11" s="88">
        <f>Configurations!C5</f>
        <v>0.35</v>
      </c>
      <c r="D11" s="88">
        <f>Configurations!D5</f>
        <v>0.9</v>
      </c>
      <c r="E11" s="15" t="s">
        <v>560</v>
      </c>
    </row>
    <row r="12" spans="1:5" ht="15" customHeight="1" x14ac:dyDescent="0.2">
      <c r="A12" s="13" t="s">
        <v>325</v>
      </c>
      <c r="B12" s="88">
        <f>Configurations!B7</f>
        <v>0.98</v>
      </c>
      <c r="C12" s="88">
        <f>Configurations!C7</f>
        <v>0.96</v>
      </c>
      <c r="D12" s="88">
        <f>Configurations!D7</f>
        <v>0.95</v>
      </c>
      <c r="E12" s="15" t="s">
        <v>561</v>
      </c>
    </row>
    <row r="13" spans="1:5" ht="15" customHeight="1" x14ac:dyDescent="0.2">
      <c r="A13" s="13" t="s">
        <v>327</v>
      </c>
      <c r="B13" s="88">
        <f>Configurations!B8</f>
        <v>2.5000000000000001E-2</v>
      </c>
      <c r="C13" s="88">
        <f>Configurations!C8</f>
        <v>2.5000000000000001E-2</v>
      </c>
      <c r="D13" s="88">
        <f>Configurations!D8</f>
        <v>2.5000000000000001E-2</v>
      </c>
      <c r="E13" s="15" t="s">
        <v>562</v>
      </c>
    </row>
    <row r="14" spans="1:5" ht="15" customHeight="1" x14ac:dyDescent="0.2">
      <c r="A14" s="13" t="s">
        <v>323</v>
      </c>
      <c r="B14" s="90">
        <f>Configurations!B6</f>
        <v>5.0000000000000001E-3</v>
      </c>
      <c r="C14" s="90">
        <f>Configurations!C6</f>
        <v>2E-3</v>
      </c>
      <c r="D14" s="90">
        <f>Configurations!D6</f>
        <v>0</v>
      </c>
      <c r="E14" s="15" t="s">
        <v>563</v>
      </c>
    </row>
    <row r="15" spans="1:5" ht="15" customHeight="1" x14ac:dyDescent="0.2">
      <c r="A15" s="13" t="s">
        <v>564</v>
      </c>
      <c r="B15" s="91">
        <f>Configurations!B15</f>
        <v>25</v>
      </c>
      <c r="C15" s="91">
        <f>Configurations!C15</f>
        <v>25</v>
      </c>
      <c r="D15" s="91">
        <f>Configurations!D15</f>
        <v>30</v>
      </c>
      <c r="E15" s="15" t="s">
        <v>565</v>
      </c>
    </row>
    <row r="16" spans="1:5" ht="15" customHeight="1" x14ac:dyDescent="0.2">
      <c r="A16" s="13" t="s">
        <v>566</v>
      </c>
      <c r="B16" s="92">
        <f>B10*B11*$B$6*B12*(1-B13)</f>
        <v>230179.95</v>
      </c>
      <c r="C16" s="92">
        <f>C10*C11*$B$6*C12*(1-C13)</f>
        <v>430466.39999999997</v>
      </c>
      <c r="D16" s="92">
        <f>D10*D11*$B$6*D12*(1-D13)</f>
        <v>730255.5</v>
      </c>
      <c r="E16" s="15" t="s">
        <v>567</v>
      </c>
    </row>
    <row r="17" spans="1:5" ht="15" customHeight="1" x14ac:dyDescent="0.2">
      <c r="A17" s="13" t="s">
        <v>568</v>
      </c>
      <c r="B17" s="93">
        <f>Configurations!B9</f>
        <v>197</v>
      </c>
      <c r="C17" s="93">
        <f>Configurations!C9</f>
        <v>321.39999999999998</v>
      </c>
      <c r="D17" s="93">
        <f>Configurations!D9</f>
        <v>568.25</v>
      </c>
      <c r="E17" s="15" t="s">
        <v>569</v>
      </c>
    </row>
    <row r="18" spans="1:5" ht="15" customHeight="1" x14ac:dyDescent="0.2">
      <c r="A18" s="13" t="s">
        <v>332</v>
      </c>
      <c r="B18" s="93">
        <f>Configurations!B11</f>
        <v>12</v>
      </c>
      <c r="C18" s="93">
        <f>Configurations!C11</f>
        <v>18</v>
      </c>
      <c r="D18" s="93">
        <f>Configurations!D11</f>
        <v>12</v>
      </c>
      <c r="E18" s="15" t="s">
        <v>570</v>
      </c>
    </row>
    <row r="19" spans="1:5" ht="15" customHeight="1" x14ac:dyDescent="0.2">
      <c r="A19" s="13" t="s">
        <v>571</v>
      </c>
      <c r="B19" s="18">
        <f>B17+B18</f>
        <v>209</v>
      </c>
      <c r="C19" s="18">
        <f>C17+C18</f>
        <v>339.4</v>
      </c>
      <c r="D19" s="18">
        <f>D17+D18</f>
        <v>580.25</v>
      </c>
      <c r="E19" s="15" t="s">
        <v>572</v>
      </c>
    </row>
    <row r="20" spans="1:5" ht="15" customHeight="1" x14ac:dyDescent="0.2">
      <c r="A20" s="13" t="s">
        <v>573</v>
      </c>
      <c r="B20" s="26">
        <f>Configurations!B12</f>
        <v>3</v>
      </c>
      <c r="C20" s="26">
        <f>Configurations!C12</f>
        <v>6.375</v>
      </c>
      <c r="D20" s="26">
        <f>Configurations!D12</f>
        <v>4.625</v>
      </c>
      <c r="E20" s="15" t="s">
        <v>574</v>
      </c>
    </row>
    <row r="21" spans="1:5" ht="15" customHeight="1" x14ac:dyDescent="0.2">
      <c r="A21" s="13" t="s">
        <v>575</v>
      </c>
      <c r="B21" s="26">
        <f>Configurations!B13</f>
        <v>1.0880000000000001</v>
      </c>
      <c r="C21" s="26">
        <f>Configurations!C13</f>
        <v>1.5860000000000001</v>
      </c>
      <c r="D21" s="26">
        <f>Configurations!D13</f>
        <v>2.573</v>
      </c>
      <c r="E21" s="15" t="s">
        <v>576</v>
      </c>
    </row>
    <row r="22" spans="1:5" ht="15" customHeight="1" x14ac:dyDescent="0.2">
      <c r="A22" s="13" t="s">
        <v>338</v>
      </c>
      <c r="B22" s="26">
        <f>Configurations!B14</f>
        <v>0.75</v>
      </c>
      <c r="C22" s="26">
        <f>Configurations!C14</f>
        <v>1.125</v>
      </c>
      <c r="D22" s="26">
        <f>Configurations!D14</f>
        <v>0.75</v>
      </c>
      <c r="E22" s="15" t="s">
        <v>577</v>
      </c>
    </row>
    <row r="23" spans="1:5" ht="15" customHeight="1" x14ac:dyDescent="0.2">
      <c r="A23" s="13" t="s">
        <v>578</v>
      </c>
      <c r="B23" s="16">
        <f>B20+B21</f>
        <v>4.0880000000000001</v>
      </c>
      <c r="C23" s="16">
        <f>C20+C21</f>
        <v>7.9610000000000003</v>
      </c>
      <c r="D23" s="16">
        <f>D20+D21</f>
        <v>7.1980000000000004</v>
      </c>
      <c r="E23" s="15" t="s">
        <v>579</v>
      </c>
    </row>
    <row r="24" spans="1:5" ht="15" customHeight="1" x14ac:dyDescent="0.2">
      <c r="A24" s="13" t="s">
        <v>580</v>
      </c>
      <c r="B24" s="16">
        <f>B23+B22</f>
        <v>4.8380000000000001</v>
      </c>
      <c r="C24" s="16">
        <f>C23+C22</f>
        <v>9.0860000000000003</v>
      </c>
      <c r="D24" s="16">
        <f>D23+D22</f>
        <v>7.9480000000000004</v>
      </c>
      <c r="E24" s="15" t="s">
        <v>581</v>
      </c>
    </row>
    <row r="25" spans="1:5" ht="15" customHeight="1" x14ac:dyDescent="0.2">
      <c r="A25" s="13" t="s">
        <v>582</v>
      </c>
      <c r="B25" s="93">
        <f>Capitalization!B13</f>
        <v>54</v>
      </c>
      <c r="C25" s="93">
        <f>Capitalization!D13</f>
        <v>88.875</v>
      </c>
      <c r="D25" s="93">
        <f>Capitalization!F13</f>
        <v>159.375</v>
      </c>
      <c r="E25" s="15" t="s">
        <v>583</v>
      </c>
    </row>
    <row r="26" spans="1:5" ht="15" customHeight="1" x14ac:dyDescent="0.2">
      <c r="A26" s="13" t="s">
        <v>370</v>
      </c>
      <c r="B26" s="93">
        <f ca="1">Capitalization!B18</f>
        <v>73.571603947937689</v>
      </c>
      <c r="C26" s="93">
        <f ca="1">Capitalization!D18</f>
        <v>121.08659816431414</v>
      </c>
      <c r="D26" s="93">
        <f ca="1">Capitalization!F18</f>
        <v>217.13841442967725</v>
      </c>
      <c r="E26" s="15" t="s">
        <v>584</v>
      </c>
    </row>
    <row r="27" spans="1:5" ht="15" customHeight="1" x14ac:dyDescent="0.2">
      <c r="E27" s="8"/>
    </row>
    <row r="28" spans="1:5" ht="15" customHeight="1" x14ac:dyDescent="0.2">
      <c r="A28" s="10" t="s">
        <v>585</v>
      </c>
      <c r="E28" s="8"/>
    </row>
    <row r="29" spans="1:5" ht="15" customHeight="1" x14ac:dyDescent="0.2">
      <c r="A29" s="13" t="s">
        <v>586</v>
      </c>
      <c r="B29" s="20">
        <f>(1-(1+$B$5)^-B15)/$B$5</f>
        <v>10.674776188588581</v>
      </c>
      <c r="C29" s="20">
        <f>(1-(1+$B$5)^-C15)/$B$5</f>
        <v>10.674776188588581</v>
      </c>
      <c r="D29" s="20">
        <f>(1-(1+$B$5)^-D15)/$B$5</f>
        <v>11.257783343127485</v>
      </c>
      <c r="E29" s="15" t="s">
        <v>587</v>
      </c>
    </row>
    <row r="30" spans="1:5" ht="15" customHeight="1" x14ac:dyDescent="0.2">
      <c r="A30" s="13" t="s">
        <v>588</v>
      </c>
      <c r="B30" s="94">
        <f>(1-B14)/(1+$B$5)</f>
        <v>0.92129629629629628</v>
      </c>
      <c r="C30" s="94">
        <f>(1-C14)/(1+$B$5)</f>
        <v>0.92407407407407405</v>
      </c>
      <c r="D30" s="94">
        <f>(1-D14)/(1+$B$5)</f>
        <v>0.92592592592592582</v>
      </c>
      <c r="E30" s="8"/>
    </row>
    <row r="31" spans="1:5" ht="15" customHeight="1" x14ac:dyDescent="0.2">
      <c r="A31" s="13" t="s">
        <v>589</v>
      </c>
      <c r="B31" s="20">
        <f>B30*(1-B30^B15)/(1-B30)</f>
        <v>10.197931155418704</v>
      </c>
      <c r="C31" s="20">
        <f>C30*(1-C30^C15)/(1-C30)</f>
        <v>10.480343968491862</v>
      </c>
      <c r="D31" s="20">
        <f>D30*(1-D30^D15)/(1-D30)</f>
        <v>11.257783343127469</v>
      </c>
      <c r="E31" s="15" t="s">
        <v>590</v>
      </c>
    </row>
    <row r="32" spans="1:5" ht="15" customHeight="1" x14ac:dyDescent="0.2">
      <c r="A32" s="13" t="s">
        <v>591</v>
      </c>
      <c r="B32" s="92">
        <f>B16*B31</f>
        <v>2347359.2834577197</v>
      </c>
      <c r="C32" s="92">
        <f>C16*C31</f>
        <v>4511435.9388784049</v>
      </c>
      <c r="D32" s="92">
        <f>D16*D31</f>
        <v>8221058.2041272214</v>
      </c>
      <c r="E32" s="8"/>
    </row>
    <row r="33" spans="1:5" ht="15" customHeight="1" x14ac:dyDescent="0.2">
      <c r="E33" s="8"/>
    </row>
    <row r="34" spans="1:5" ht="15" customHeight="1" x14ac:dyDescent="0.2">
      <c r="A34" s="10" t="s">
        <v>592</v>
      </c>
      <c r="E34" s="8"/>
    </row>
    <row r="35" spans="1:5" ht="15" customHeight="1" x14ac:dyDescent="0.2">
      <c r="A35" s="11"/>
      <c r="B35" s="11" t="s">
        <v>315</v>
      </c>
      <c r="C35" s="11" t="s">
        <v>316</v>
      </c>
      <c r="D35" s="11" t="s">
        <v>557</v>
      </c>
      <c r="E35" s="12" t="s">
        <v>593</v>
      </c>
    </row>
    <row r="36" spans="1:5" ht="15" customHeight="1" x14ac:dyDescent="0.2">
      <c r="A36" s="13" t="s">
        <v>594</v>
      </c>
      <c r="B36" s="16">
        <f>((B17)+B23*B29)*1000000/B32</f>
        <v>102.51455188593181</v>
      </c>
      <c r="C36" s="16">
        <f>((C17)+C23*C29)*1000000/C32</f>
        <v>90.078169953663334</v>
      </c>
      <c r="D36" s="16">
        <f>((D17)+D23*D29)*1000000/D32</f>
        <v>78.978096053117781</v>
      </c>
      <c r="E36" s="15" t="s">
        <v>595</v>
      </c>
    </row>
    <row r="37" spans="1:5" ht="15" customHeight="1" x14ac:dyDescent="0.2">
      <c r="A37" s="13" t="s">
        <v>596</v>
      </c>
      <c r="B37" s="16">
        <f>((B19)+B24*B29)*1000000/B32</f>
        <v>111.0373554816268</v>
      </c>
      <c r="C37" s="16">
        <f>((C19)+C24*C29)*1000000/C32</f>
        <v>96.729959676210697</v>
      </c>
      <c r="D37" s="16">
        <f>((D19)+D24*D29)*1000000/D32</f>
        <v>81.464799954214399</v>
      </c>
      <c r="E37" s="15" t="s">
        <v>597</v>
      </c>
    </row>
    <row r="38" spans="1:5" ht="21.75" customHeight="1" x14ac:dyDescent="0.2">
      <c r="A38" s="13" t="s">
        <v>598</v>
      </c>
      <c r="B38" s="16">
        <f ca="1">((B17-B26)+B23*B29)*1000000/B32</f>
        <v>71.172266763066062</v>
      </c>
      <c r="C38" s="16">
        <f ca="1">((C17-C26)+C23*C29)*1000000/C32</f>
        <v>63.238245857474645</v>
      </c>
      <c r="D38" s="16">
        <f ca="1">((D17-D26)+D23*D29)*1000000/D32</f>
        <v>52.565630767241665</v>
      </c>
      <c r="E38" s="15" t="s">
        <v>599</v>
      </c>
    </row>
    <row r="39" spans="1:5" ht="15" customHeight="1" x14ac:dyDescent="0.2">
      <c r="A39" s="27" t="s">
        <v>600</v>
      </c>
      <c r="B39" s="95">
        <f ca="1">((B19-B26)+B24*B29)*1000000/B32</f>
        <v>79.695070358761029</v>
      </c>
      <c r="C39" s="95">
        <f ca="1">((C19-C26)+C24*C29)*1000000/C32</f>
        <v>69.890035580022001</v>
      </c>
      <c r="D39" s="95">
        <f ca="1">((D19-D26)+D24*D29)*1000000/D32</f>
        <v>55.052334668338297</v>
      </c>
      <c r="E39" s="15" t="s">
        <v>601</v>
      </c>
    </row>
    <row r="40" spans="1:5" ht="15" customHeight="1" x14ac:dyDescent="0.2">
      <c r="E40" s="8"/>
    </row>
    <row r="41" spans="1:5" ht="15" customHeight="1" x14ac:dyDescent="0.2">
      <c r="A41" s="10" t="s">
        <v>602</v>
      </c>
      <c r="E41" s="8"/>
    </row>
    <row r="42" spans="1:5" ht="21.75" customHeight="1" x14ac:dyDescent="0.2">
      <c r="A42" s="13" t="s">
        <v>603</v>
      </c>
      <c r="B42" s="13" t="s">
        <v>604</v>
      </c>
      <c r="C42" s="13" t="s">
        <v>605</v>
      </c>
      <c r="D42" s="13" t="s">
        <v>606</v>
      </c>
      <c r="E42" s="15" t="s">
        <v>607</v>
      </c>
    </row>
  </sheetData>
  <phoneticPr fontId="22" type="noConversion"/>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4"/>
  <sheetViews>
    <sheetView zoomScaleNormal="100" workbookViewId="0"/>
  </sheetViews>
  <sheetFormatPr baseColWidth="10" defaultColWidth="8.6640625" defaultRowHeight="15" x14ac:dyDescent="0.2"/>
  <cols>
    <col min="1" max="1" width="46" customWidth="1"/>
    <col min="2" max="4" width="16" customWidth="1"/>
    <col min="5" max="5" width="80" customWidth="1"/>
  </cols>
  <sheetData>
    <row r="1" spans="1:5" ht="15.75" customHeight="1" x14ac:dyDescent="0.2">
      <c r="A1" s="7" t="s">
        <v>608</v>
      </c>
      <c r="D1" s="8"/>
      <c r="E1" s="8"/>
    </row>
    <row r="2" spans="1:5" ht="15" customHeight="1" x14ac:dyDescent="0.2">
      <c r="A2" s="9" t="s">
        <v>609</v>
      </c>
      <c r="D2" s="8"/>
      <c r="E2" s="8"/>
    </row>
    <row r="3" spans="1:5" ht="15" customHeight="1" x14ac:dyDescent="0.2">
      <c r="D3" s="8"/>
      <c r="E3" s="8"/>
    </row>
    <row r="4" spans="1:5" ht="15" customHeight="1" x14ac:dyDescent="0.2">
      <c r="A4" s="10" t="s">
        <v>610</v>
      </c>
      <c r="D4" s="8"/>
      <c r="E4" s="8"/>
    </row>
    <row r="5" spans="1:5" ht="95.25" customHeight="1" x14ac:dyDescent="0.2">
      <c r="A5" s="13" t="s">
        <v>611</v>
      </c>
      <c r="B5" s="26">
        <f>M3_StructA_B!B17</f>
        <v>162.81741354642315</v>
      </c>
      <c r="C5" s="13" t="s">
        <v>67</v>
      </c>
      <c r="D5" s="15" t="s">
        <v>612</v>
      </c>
      <c r="E5" s="8"/>
    </row>
    <row r="6" spans="1:5" ht="95.25" customHeight="1" x14ac:dyDescent="0.2">
      <c r="A6" s="13" t="s">
        <v>613</v>
      </c>
      <c r="B6" s="26">
        <f>Inputs!B18</f>
        <v>72</v>
      </c>
      <c r="C6" s="13" t="s">
        <v>67</v>
      </c>
      <c r="D6" s="15" t="s">
        <v>614</v>
      </c>
      <c r="E6" s="8"/>
    </row>
    <row r="7" spans="1:5" ht="74.25" customHeight="1" x14ac:dyDescent="0.2">
      <c r="A7" s="13" t="s">
        <v>615</v>
      </c>
      <c r="B7" s="26">
        <f>M1_Benchmarks!$B$24+M3_Inputs!B17+M3_Inputs!B22</f>
        <v>78.575099999999992</v>
      </c>
      <c r="C7" s="13" t="s">
        <v>67</v>
      </c>
      <c r="D7" s="15" t="s">
        <v>616</v>
      </c>
      <c r="E7" s="8"/>
    </row>
    <row r="8" spans="1:5" ht="74.25" customHeight="1" x14ac:dyDescent="0.2">
      <c r="A8" s="13" t="s">
        <v>617</v>
      </c>
      <c r="B8" s="16">
        <f>B5-B6</f>
        <v>90.817413546423154</v>
      </c>
      <c r="C8" s="13" t="s">
        <v>67</v>
      </c>
      <c r="D8" s="15" t="s">
        <v>618</v>
      </c>
      <c r="E8" s="8"/>
    </row>
    <row r="9" spans="1:5" ht="15" customHeight="1" x14ac:dyDescent="0.2">
      <c r="E9" s="8"/>
    </row>
    <row r="10" spans="1:5" ht="15" customHeight="1" x14ac:dyDescent="0.2">
      <c r="A10" s="10" t="s">
        <v>619</v>
      </c>
      <c r="E10" s="8"/>
    </row>
    <row r="11" spans="1:5" ht="15" customHeight="1" x14ac:dyDescent="0.2">
      <c r="A11" s="11"/>
      <c r="B11" s="11" t="s">
        <v>495</v>
      </c>
      <c r="C11" s="11" t="s">
        <v>496</v>
      </c>
      <c r="D11" s="11" t="s">
        <v>497</v>
      </c>
      <c r="E11" s="12" t="s">
        <v>620</v>
      </c>
    </row>
    <row r="12" spans="1:5" ht="15" customHeight="1" x14ac:dyDescent="0.2">
      <c r="A12" s="13" t="s">
        <v>621</v>
      </c>
      <c r="B12" s="26">
        <f>M4_LCOE!B37</f>
        <v>111.0373554816268</v>
      </c>
      <c r="C12" s="26">
        <f>M4_LCOE!C37</f>
        <v>96.729959676210697</v>
      </c>
      <c r="D12" s="26">
        <f>M4_LCOE!D37</f>
        <v>81.464799954214399</v>
      </c>
      <c r="E12" s="15" t="s">
        <v>622</v>
      </c>
    </row>
    <row r="13" spans="1:5" ht="15" customHeight="1" x14ac:dyDescent="0.2">
      <c r="A13" s="27" t="s">
        <v>623</v>
      </c>
      <c r="B13" s="96">
        <f ca="1">M4_LCOE!B39</f>
        <v>79.695070358761029</v>
      </c>
      <c r="C13" s="96">
        <f ca="1">M4_LCOE!C39</f>
        <v>69.890035580022001</v>
      </c>
      <c r="D13" s="96">
        <f ca="1">M4_LCOE!D39</f>
        <v>55.052334668338297</v>
      </c>
      <c r="E13" s="15" t="s">
        <v>624</v>
      </c>
    </row>
    <row r="14" spans="1:5" ht="15" customHeight="1" x14ac:dyDescent="0.2">
      <c r="E14" s="8"/>
    </row>
    <row r="15" spans="1:5" ht="15" customHeight="1" x14ac:dyDescent="0.2">
      <c r="A15" s="27" t="s">
        <v>625</v>
      </c>
      <c r="B15" s="16">
        <f ca="1">$B$5-B13</f>
        <v>83.122343187662125</v>
      </c>
      <c r="C15" s="16">
        <f ca="1">$B$5-C13</f>
        <v>92.927377966401153</v>
      </c>
      <c r="D15" s="16">
        <f ca="1">$B$5-D13</f>
        <v>107.76507887808486</v>
      </c>
      <c r="E15" s="15" t="s">
        <v>626</v>
      </c>
    </row>
    <row r="16" spans="1:5" ht="15" customHeight="1" x14ac:dyDescent="0.2">
      <c r="A16" s="13" t="s">
        <v>627</v>
      </c>
      <c r="B16" s="16">
        <f ca="1">$B$6-B13</f>
        <v>-7.6950703587610292</v>
      </c>
      <c r="C16" s="16">
        <f ca="1">$B$6-C13</f>
        <v>2.1099644199779988</v>
      </c>
      <c r="D16" s="16">
        <f ca="1">$B$6-D13</f>
        <v>16.947665331661703</v>
      </c>
      <c r="E16" s="15" t="s">
        <v>628</v>
      </c>
    </row>
    <row r="17" spans="1:5" ht="15" customHeight="1" x14ac:dyDescent="0.2">
      <c r="A17" s="13" t="s">
        <v>629</v>
      </c>
      <c r="B17" s="16">
        <f>$B$5-B12</f>
        <v>51.78005806479635</v>
      </c>
      <c r="C17" s="16">
        <f>$B$5-C12</f>
        <v>66.087453870212457</v>
      </c>
      <c r="D17" s="16">
        <f>$B$5-D12</f>
        <v>81.352613592208755</v>
      </c>
      <c r="E17" s="15" t="s">
        <v>630</v>
      </c>
    </row>
    <row r="18" spans="1:5" ht="15" customHeight="1" x14ac:dyDescent="0.2">
      <c r="E18" s="8"/>
    </row>
    <row r="19" spans="1:5" ht="15" customHeight="1" x14ac:dyDescent="0.2">
      <c r="A19" s="10" t="s">
        <v>631</v>
      </c>
      <c r="E19" s="8"/>
    </row>
    <row r="20" spans="1:5" ht="15" customHeight="1" x14ac:dyDescent="0.2">
      <c r="A20" s="11"/>
      <c r="B20" s="11" t="s">
        <v>495</v>
      </c>
      <c r="C20" s="11" t="s">
        <v>496</v>
      </c>
      <c r="D20" s="11" t="s">
        <v>497</v>
      </c>
      <c r="E20" s="12" t="s">
        <v>632</v>
      </c>
    </row>
    <row r="21" spans="1:5" ht="15" customHeight="1" x14ac:dyDescent="0.2">
      <c r="A21" s="13" t="s">
        <v>633</v>
      </c>
      <c r="B21" s="27" t="str">
        <f t="shared" ref="B21:D23" ca="1" si="0">IF(B15&gt;0,"YES","NO")</f>
        <v>YES</v>
      </c>
      <c r="C21" s="27" t="str">
        <f t="shared" ca="1" si="0"/>
        <v>YES</v>
      </c>
      <c r="D21" s="27" t="str">
        <f t="shared" ca="1" si="0"/>
        <v>YES</v>
      </c>
      <c r="E21" s="15" t="s">
        <v>634</v>
      </c>
    </row>
    <row r="22" spans="1:5" ht="15" customHeight="1" x14ac:dyDescent="0.2">
      <c r="A22" s="13" t="s">
        <v>635</v>
      </c>
      <c r="B22" s="27" t="str">
        <f t="shared" ca="1" si="0"/>
        <v>NO</v>
      </c>
      <c r="C22" s="27" t="str">
        <f t="shared" ca="1" si="0"/>
        <v>YES</v>
      </c>
      <c r="D22" s="27" t="str">
        <f t="shared" ca="1" si="0"/>
        <v>YES</v>
      </c>
      <c r="E22" s="15" t="s">
        <v>636</v>
      </c>
    </row>
    <row r="23" spans="1:5" ht="15" customHeight="1" x14ac:dyDescent="0.2">
      <c r="A23" s="13" t="s">
        <v>637</v>
      </c>
      <c r="B23" s="27" t="str">
        <f t="shared" si="0"/>
        <v>YES</v>
      </c>
      <c r="C23" s="27" t="str">
        <f t="shared" si="0"/>
        <v>YES</v>
      </c>
      <c r="D23" s="27" t="str">
        <f t="shared" si="0"/>
        <v>YES</v>
      </c>
      <c r="E23" s="15" t="s">
        <v>638</v>
      </c>
    </row>
    <row r="24" spans="1:5" ht="21.75" customHeight="1" x14ac:dyDescent="0.2">
      <c r="A24" s="13" t="s">
        <v>639</v>
      </c>
      <c r="B24" s="27" t="str">
        <f ca="1">IF(Inputs!$B$19&gt;=B13,"YES","NO: below LCOE")</f>
        <v>NO: below LCOE</v>
      </c>
      <c r="C24" s="27" t="str">
        <f ca="1">IF(Inputs!$B$19&gt;=C13,"YES","NO: below LCOE")</f>
        <v>NO: below LCOE</v>
      </c>
      <c r="D24" s="27" t="str">
        <f ca="1">IF(Inputs!$B$19&gt;=D13,"YES","NO: below LCOE")</f>
        <v>YES</v>
      </c>
      <c r="E24" s="15" t="s">
        <v>640</v>
      </c>
    </row>
  </sheetData>
  <phoneticPr fontId="22" type="noConversion"/>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36"/>
  <sheetViews>
    <sheetView zoomScaleNormal="100" workbookViewId="0">
      <selection activeCell="C21" sqref="C21"/>
    </sheetView>
  </sheetViews>
  <sheetFormatPr baseColWidth="10" defaultColWidth="8.6640625" defaultRowHeight="15" x14ac:dyDescent="0.2"/>
  <cols>
    <col min="1" max="1" width="52" customWidth="1"/>
    <col min="2" max="4" width="16" customWidth="1"/>
    <col min="5" max="5" width="80" customWidth="1"/>
  </cols>
  <sheetData>
    <row r="1" spans="1:5" ht="15.75" customHeight="1" x14ac:dyDescent="0.2">
      <c r="A1" s="7" t="s">
        <v>641</v>
      </c>
      <c r="E1" s="8"/>
    </row>
    <row r="2" spans="1:5" ht="15" customHeight="1" x14ac:dyDescent="0.2">
      <c r="A2" s="9" t="s">
        <v>642</v>
      </c>
      <c r="E2" s="8"/>
    </row>
    <row r="3" spans="1:5" ht="15" customHeight="1" x14ac:dyDescent="0.2">
      <c r="E3" s="8"/>
    </row>
    <row r="4" spans="1:5" ht="15" customHeight="1" x14ac:dyDescent="0.2">
      <c r="A4" s="10" t="s">
        <v>643</v>
      </c>
      <c r="E4" s="8"/>
    </row>
    <row r="5" spans="1:5" ht="63.75" customHeight="1" x14ac:dyDescent="0.2">
      <c r="A5" s="13" t="s">
        <v>644</v>
      </c>
      <c r="B5" s="97">
        <v>0.5</v>
      </c>
      <c r="C5" s="13" t="s">
        <v>132</v>
      </c>
      <c r="D5" s="15" t="s">
        <v>645</v>
      </c>
      <c r="E5" s="8"/>
    </row>
    <row r="6" spans="1:5" ht="53.25" customHeight="1" x14ac:dyDescent="0.2">
      <c r="A6" s="13" t="s">
        <v>646</v>
      </c>
      <c r="B6" s="98">
        <v>0.15</v>
      </c>
      <c r="C6" s="13" t="s">
        <v>132</v>
      </c>
      <c r="D6" s="15" t="s">
        <v>647</v>
      </c>
      <c r="E6" s="8"/>
    </row>
    <row r="7" spans="1:5" ht="42.75" customHeight="1" x14ac:dyDescent="0.2">
      <c r="A7" s="13" t="s">
        <v>648</v>
      </c>
      <c r="B7" s="98">
        <v>0.1</v>
      </c>
      <c r="C7" s="13" t="s">
        <v>132</v>
      </c>
      <c r="D7" s="15" t="s">
        <v>649</v>
      </c>
      <c r="E7" s="8"/>
    </row>
    <row r="8" spans="1:5" ht="53.25" customHeight="1" x14ac:dyDescent="0.2">
      <c r="A8" s="13" t="s">
        <v>650</v>
      </c>
      <c r="B8" s="98">
        <v>0.2</v>
      </c>
      <c r="C8" s="13" t="s">
        <v>132</v>
      </c>
      <c r="D8" s="15" t="s">
        <v>651</v>
      </c>
      <c r="E8" s="8"/>
    </row>
    <row r="9" spans="1:5" ht="15" customHeight="1" x14ac:dyDescent="0.2">
      <c r="E9" s="8"/>
    </row>
    <row r="10" spans="1:5" ht="15" customHeight="1" x14ac:dyDescent="0.2">
      <c r="A10" s="10" t="s">
        <v>652</v>
      </c>
      <c r="E10" s="8"/>
    </row>
    <row r="11" spans="1:5" ht="15" customHeight="1" x14ac:dyDescent="0.2">
      <c r="A11" s="11"/>
      <c r="B11" s="11" t="s">
        <v>495</v>
      </c>
      <c r="C11" s="11" t="s">
        <v>496</v>
      </c>
      <c r="D11" s="11" t="s">
        <v>497</v>
      </c>
      <c r="E11" s="12" t="s">
        <v>653</v>
      </c>
    </row>
    <row r="12" spans="1:5" ht="15" customHeight="1" x14ac:dyDescent="0.2">
      <c r="A12" s="13" t="s">
        <v>654</v>
      </c>
      <c r="B12" s="16">
        <f ca="1">(M4_Bounds!B13+M4_Bounds!$B$5)/2</f>
        <v>121.25624195259209</v>
      </c>
      <c r="C12" s="16">
        <f ca="1">(M4_Bounds!C13+M4_Bounds!$B$5)/2</f>
        <v>116.35372456322258</v>
      </c>
      <c r="D12" s="16">
        <f ca="1">(M4_Bounds!D13+M4_Bounds!$B$5)/2</f>
        <v>108.93487410738072</v>
      </c>
      <c r="E12" s="15" t="s">
        <v>655</v>
      </c>
    </row>
    <row r="13" spans="1:5" ht="21.75" customHeight="1" x14ac:dyDescent="0.2">
      <c r="A13" s="13" t="s">
        <v>656</v>
      </c>
      <c r="B13" s="16">
        <f>M4_Bounds!$B$6*(1-$B$6)</f>
        <v>61.199999999999996</v>
      </c>
      <c r="C13" s="16">
        <f>M4_Bounds!$B$6*(1-$B$6)</f>
        <v>61.199999999999996</v>
      </c>
      <c r="D13" s="16">
        <f>M4_Bounds!$B$6*(1-$B$6)</f>
        <v>61.199999999999996</v>
      </c>
      <c r="E13" s="15" t="s">
        <v>657</v>
      </c>
    </row>
    <row r="14" spans="1:5" ht="15" customHeight="1" x14ac:dyDescent="0.2">
      <c r="A14" s="13" t="s">
        <v>658</v>
      </c>
      <c r="B14" s="16">
        <f ca="1">M4_Bounds!B13+$B$5*(M4_Bounds!$B$5-M4_Bounds!B13)</f>
        <v>121.25624195259209</v>
      </c>
      <c r="C14" s="16">
        <f ca="1">M4_Bounds!C13+$B$5*(M4_Bounds!$B$5-M4_Bounds!C13)</f>
        <v>116.35372456322258</v>
      </c>
      <c r="D14" s="16">
        <f ca="1">M4_Bounds!D13+$B$5*(M4_Bounds!$B$5-M4_Bounds!D13)</f>
        <v>108.93487410738072</v>
      </c>
      <c r="E14" s="15" t="s">
        <v>659</v>
      </c>
    </row>
    <row r="15" spans="1:5" ht="15" customHeight="1" x14ac:dyDescent="0.2">
      <c r="A15" s="13" t="s">
        <v>660</v>
      </c>
      <c r="B15" s="27" t="str">
        <f ca="1">IF(B13&gt;=M4_Bounds!B13,"YES","NO: below cost")</f>
        <v>NO: below cost</v>
      </c>
      <c r="C15" s="27" t="str">
        <f ca="1">IF(C13&gt;=M4_Bounds!C13,"YES","NO: below cost")</f>
        <v>NO: below cost</v>
      </c>
      <c r="D15" s="27" t="str">
        <f ca="1">IF(D13&gt;=M4_Bounds!D13,"YES","NO: below cost")</f>
        <v>YES</v>
      </c>
      <c r="E15" s="15" t="s">
        <v>661</v>
      </c>
    </row>
    <row r="16" spans="1:5" ht="15" customHeight="1" x14ac:dyDescent="0.2">
      <c r="E16" s="8"/>
    </row>
    <row r="17" spans="1:5" ht="15" customHeight="1" x14ac:dyDescent="0.2">
      <c r="A17" s="10" t="s">
        <v>662</v>
      </c>
      <c r="E17" s="8"/>
    </row>
    <row r="18" spans="1:5" ht="42.75" customHeight="1" x14ac:dyDescent="0.2">
      <c r="A18" s="13" t="s">
        <v>663</v>
      </c>
      <c r="B18" s="53">
        <v>3</v>
      </c>
      <c r="C18" s="13"/>
      <c r="D18" s="15" t="s">
        <v>664</v>
      </c>
      <c r="E18" s="8"/>
    </row>
    <row r="19" spans="1:5" ht="21.75" customHeight="1" x14ac:dyDescent="0.2">
      <c r="A19" s="27" t="s">
        <v>665</v>
      </c>
      <c r="B19" s="95">
        <f ca="1">CHOOSE($B$18,B12,B13,B14)</f>
        <v>121.25624195259209</v>
      </c>
      <c r="C19" s="95">
        <f ca="1">CHOOSE($B$18,C12,C13,C14)</f>
        <v>116.35372456322258</v>
      </c>
      <c r="D19" s="95">
        <f ca="1">CHOOSE($B$18,D12,D13,D14)</f>
        <v>108.93487410738072</v>
      </c>
      <c r="E19" s="15" t="s">
        <v>666</v>
      </c>
    </row>
    <row r="20" spans="1:5" ht="15" customHeight="1" x14ac:dyDescent="0.2">
      <c r="A20" s="13" t="s">
        <v>667</v>
      </c>
      <c r="B20" s="99">
        <f ca="1">B19-Inputs!$B$19</f>
        <v>61.256241952592092</v>
      </c>
      <c r="C20" s="99">
        <f ca="1">C19-Inputs!$B$19</f>
        <v>56.353724563222585</v>
      </c>
      <c r="D20" s="99">
        <f ca="1">D19-Inputs!$B$19</f>
        <v>48.934874107380722</v>
      </c>
      <c r="E20" s="15" t="s">
        <v>668</v>
      </c>
    </row>
    <row r="21" spans="1:5" ht="15" customHeight="1" x14ac:dyDescent="0.2">
      <c r="E21" s="8"/>
    </row>
    <row r="22" spans="1:5" ht="15" customHeight="1" x14ac:dyDescent="0.2">
      <c r="A22" s="10" t="s">
        <v>669</v>
      </c>
      <c r="E22" s="8"/>
    </row>
    <row r="23" spans="1:5" ht="15" customHeight="1" x14ac:dyDescent="0.2">
      <c r="A23" s="11"/>
      <c r="B23" s="11" t="s">
        <v>495</v>
      </c>
      <c r="C23" s="11" t="s">
        <v>496</v>
      </c>
      <c r="D23" s="11" t="s">
        <v>497</v>
      </c>
      <c r="E23" s="12" t="s">
        <v>670</v>
      </c>
    </row>
    <row r="24" spans="1:5" ht="15" customHeight="1" x14ac:dyDescent="0.2">
      <c r="A24" s="13" t="s">
        <v>671</v>
      </c>
      <c r="B24" s="99">
        <f ca="1">B19-M4_Bounds!B13</f>
        <v>41.561171593831062</v>
      </c>
      <c r="C24" s="99">
        <f ca="1">C19-M4_Bounds!C13</f>
        <v>46.463688983200583</v>
      </c>
      <c r="D24" s="99">
        <f ca="1">D19-M4_Bounds!D13</f>
        <v>53.882539439042425</v>
      </c>
      <c r="E24" s="15" t="s">
        <v>672</v>
      </c>
    </row>
    <row r="25" spans="1:5" ht="21.75" customHeight="1" x14ac:dyDescent="0.2">
      <c r="A25" s="13" t="s">
        <v>673</v>
      </c>
      <c r="B25" s="88">
        <f ca="1">SolarColoc!B2</f>
        <v>0.11794323080526703</v>
      </c>
      <c r="C25" s="88">
        <f ca="1">WindColoc!B2</f>
        <v>0.24443197829527419</v>
      </c>
      <c r="D25" s="88">
        <f ca="1">GeoColoc!B2</f>
        <v>0.3308196855407548</v>
      </c>
      <c r="E25" s="15" t="s">
        <v>674</v>
      </c>
    </row>
    <row r="26" spans="1:5" ht="15" customHeight="1" x14ac:dyDescent="0.2">
      <c r="A26" s="13" t="s">
        <v>675</v>
      </c>
      <c r="B26" s="27" t="str">
        <f ca="1">IF(B25&gt;=$B$7,"YES","NO")</f>
        <v>YES</v>
      </c>
      <c r="C26" s="27" t="str">
        <f ca="1">IF(C25&gt;=$B$7,"YES","NO")</f>
        <v>YES</v>
      </c>
      <c r="D26" s="27" t="str">
        <f ca="1">IF(D25&gt;=$B$7,"YES","NO")</f>
        <v>YES</v>
      </c>
      <c r="E26" s="8"/>
    </row>
    <row r="27" spans="1:5" ht="15" customHeight="1" x14ac:dyDescent="0.2">
      <c r="A27" s="13" t="s">
        <v>676</v>
      </c>
      <c r="B27" s="16">
        <f ca="1">M3_Coverage!B9*B19+(1-M3_Coverage!B9)*(M3_Inputs!$B$24+M3_Inputs!$B$17+M3_Inputs!$B$22)+M3_Inputs!$B$31+M3_Inputs!$B$29</f>
        <v>120.7385410085266</v>
      </c>
      <c r="C27" s="16">
        <f ca="1">M3_Coverage!C9*C19+(1-M3_Coverage!C9)*(M3_Inputs!$B$24+M3_Inputs!$B$17+M3_Inputs!$B$22)+M3_Inputs!$B$31+M3_Inputs!$B$29</f>
        <v>121.35334350977243</v>
      </c>
      <c r="D27" s="16">
        <f ca="1">M3_Coverage!D9*D19+(1-M3_Coverage!D9)*(M3_Inputs!$B$24+M3_Inputs!$B$17+M3_Inputs!$B$22)+M3_Inputs!$B$31+M3_Inputs!$B$29</f>
        <v>117.42288163713469</v>
      </c>
      <c r="E27" s="15" t="s">
        <v>677</v>
      </c>
    </row>
    <row r="28" spans="1:5" ht="15" customHeight="1" x14ac:dyDescent="0.2">
      <c r="A28" s="13" t="s">
        <v>678</v>
      </c>
      <c r="B28" s="23">
        <f ca="1">(M4_Bounds!$B$5-B27)/M4_Bounds!$B$5</f>
        <v>0.25844208934014828</v>
      </c>
      <c r="C28" s="23">
        <f ca="1">(M4_Bounds!$B$5-C27)/M4_Bounds!$B$5</f>
        <v>0.25466606509400375</v>
      </c>
      <c r="D28" s="23">
        <f ca="1">(M4_Bounds!$B$5-D27)/M4_Bounds!$B$5</f>
        <v>0.27880636917466689</v>
      </c>
      <c r="E28" s="8"/>
    </row>
    <row r="29" spans="1:5" ht="15" customHeight="1" x14ac:dyDescent="0.2">
      <c r="A29" s="13" t="s">
        <v>679</v>
      </c>
      <c r="B29" s="27" t="str">
        <f ca="1">IF(B28&gt;=$B$8,"YES","NO")</f>
        <v>YES</v>
      </c>
      <c r="C29" s="27" t="str">
        <f ca="1">IF(C28&gt;=$B$8,"YES","NO")</f>
        <v>YES</v>
      </c>
      <c r="D29" s="27" t="str">
        <f ca="1">IF(D28&gt;=$B$8,"YES","NO")</f>
        <v>YES</v>
      </c>
      <c r="E29" s="8"/>
    </row>
    <row r="30" spans="1:5" ht="21.75" customHeight="1" x14ac:dyDescent="0.2">
      <c r="A30" s="27" t="s">
        <v>680</v>
      </c>
      <c r="B30" s="100" t="str">
        <f ca="1">IF(AND(B25&gt;=$B$7,B28&gt;=$B$8,B24&gt;=0),"YES","NO")</f>
        <v>YES</v>
      </c>
      <c r="C30" s="100" t="str">
        <f ca="1">IF(AND(C25&gt;=$B$7,C28&gt;=$B$8,C24&gt;=0),"YES","NO")</f>
        <v>YES</v>
      </c>
      <c r="D30" s="100" t="str">
        <f ca="1">IF(AND(D25&gt;=$B$7,D28&gt;=$B$8,D24&gt;=0),"YES","NO")</f>
        <v>YES</v>
      </c>
      <c r="E30" s="15" t="s">
        <v>681</v>
      </c>
    </row>
    <row r="31" spans="1:5" ht="15" customHeight="1" x14ac:dyDescent="0.2">
      <c r="E31" s="8"/>
    </row>
    <row r="32" spans="1:5" ht="15" customHeight="1" x14ac:dyDescent="0.2">
      <c r="A32" s="10" t="s">
        <v>682</v>
      </c>
      <c r="E32" s="8"/>
    </row>
    <row r="33" spans="1:5" ht="15" customHeight="1" x14ac:dyDescent="0.2">
      <c r="A33" s="13" t="s">
        <v>683</v>
      </c>
      <c r="B33" s="16">
        <f>(M4_Bounds!$B$5*(1-$B$8)-(1-M3_Coverage!B9)*(M3_Inputs!$B$24+M3_Inputs!$B$17+M3_Inputs!$B$22)-M3_Inputs!$B$31-M3_Inputs!$B$29)/M3_Coverage!B9</f>
        <v>154.19412982086416</v>
      </c>
      <c r="C33" s="16">
        <f>(M4_Bounds!$B$5*(1-$B$8)-(1-M3_Coverage!C9)*(M3_Inputs!$B$24+M3_Inputs!$B$17+M3_Inputs!$B$22)-M3_Inputs!$B$31-M3_Inputs!$B$29)/M3_Coverage!C9</f>
        <v>132.53661061297916</v>
      </c>
      <c r="D33" s="16">
        <f>(M4_Bounds!$B$5*(1-$B$8)-(1-M3_Coverage!D9)*(M3_Inputs!$B$24+M3_Inputs!$B$17+M3_Inputs!$B$22)-M3_Inputs!$B$31-M3_Inputs!$B$29)/M3_Coverage!D9</f>
        <v>122.20837327979849</v>
      </c>
      <c r="E33" s="15" t="s">
        <v>684</v>
      </c>
    </row>
    <row r="34" spans="1:5" ht="15" customHeight="1" x14ac:dyDescent="0.2">
      <c r="A34" s="13" t="s">
        <v>685</v>
      </c>
      <c r="B34" s="26">
        <f ca="1">M4_Bounds!B13</f>
        <v>79.695070358761029</v>
      </c>
      <c r="C34" s="26">
        <f ca="1">M4_Bounds!C13</f>
        <v>69.890035580022001</v>
      </c>
      <c r="D34" s="26">
        <f ca="1">M4_Bounds!D13</f>
        <v>55.052334668338297</v>
      </c>
      <c r="E34" s="8"/>
    </row>
    <row r="35" spans="1:5" ht="15" customHeight="1" x14ac:dyDescent="0.2">
      <c r="A35" s="27" t="s">
        <v>686</v>
      </c>
      <c r="B35" s="101">
        <f ca="1">B33-B34</f>
        <v>74.499059462103133</v>
      </c>
      <c r="C35" s="101">
        <f ca="1">C33-C34</f>
        <v>62.646575032957159</v>
      </c>
      <c r="D35" s="101">
        <f ca="1">D33-D34</f>
        <v>67.15603861146019</v>
      </c>
      <c r="E35" s="15" t="s">
        <v>687</v>
      </c>
    </row>
    <row r="36" spans="1:5" ht="15" customHeight="1" x14ac:dyDescent="0.2">
      <c r="A36" s="13" t="s">
        <v>688</v>
      </c>
      <c r="B36" s="27" t="str">
        <f ca="1">IF(B33&gt;=B34,"YES","NO")</f>
        <v>YES</v>
      </c>
      <c r="C36" s="27" t="str">
        <f ca="1">IF(C33&gt;=C34,"YES","NO")</f>
        <v>YES</v>
      </c>
      <c r="D36" s="27" t="str">
        <f ca="1">IF(D33&gt;=D34,"YES","NO")</f>
        <v>YES</v>
      </c>
      <c r="E36" s="8"/>
    </row>
  </sheetData>
  <phoneticPr fontId="22" type="noConversion"/>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25"/>
  <sheetViews>
    <sheetView zoomScaleNormal="100" workbookViewId="0"/>
  </sheetViews>
  <sheetFormatPr baseColWidth="10" defaultColWidth="8.6640625" defaultRowHeight="15" x14ac:dyDescent="0.2"/>
  <cols>
    <col min="1" max="1" width="140" customWidth="1"/>
  </cols>
  <sheetData>
    <row r="1" spans="1:1" ht="15.75" customHeight="1" x14ac:dyDescent="0.2">
      <c r="A1" s="7" t="s">
        <v>689</v>
      </c>
    </row>
    <row r="3" spans="1:1" ht="15" customHeight="1" x14ac:dyDescent="0.2">
      <c r="A3" s="10" t="s">
        <v>690</v>
      </c>
    </row>
    <row r="4" spans="1:1" ht="69.75" customHeight="1" x14ac:dyDescent="0.2">
      <c r="A4" s="19" t="s">
        <v>691</v>
      </c>
    </row>
    <row r="6" spans="1:1" ht="15" customHeight="1" x14ac:dyDescent="0.2">
      <c r="A6" s="10" t="s">
        <v>692</v>
      </c>
    </row>
    <row r="7" spans="1:1" ht="84" customHeight="1" x14ac:dyDescent="0.2">
      <c r="A7" s="19" t="s">
        <v>693</v>
      </c>
    </row>
    <row r="9" spans="1:1" ht="15" customHeight="1" x14ac:dyDescent="0.2">
      <c r="A9" s="10" t="s">
        <v>694</v>
      </c>
    </row>
    <row r="10" spans="1:1" ht="69.75" customHeight="1" x14ac:dyDescent="0.2">
      <c r="A10" s="19" t="s">
        <v>695</v>
      </c>
    </row>
    <row r="12" spans="1:1" ht="15" customHeight="1" x14ac:dyDescent="0.2">
      <c r="A12" s="10" t="s">
        <v>696</v>
      </c>
    </row>
    <row r="13" spans="1:1" ht="97.5" customHeight="1" x14ac:dyDescent="0.2">
      <c r="A13" s="19" t="s">
        <v>697</v>
      </c>
    </row>
    <row r="15" spans="1:1" ht="15" customHeight="1" x14ac:dyDescent="0.2">
      <c r="A15" s="10" t="s">
        <v>698</v>
      </c>
    </row>
    <row r="16" spans="1:1" ht="69.75" customHeight="1" x14ac:dyDescent="0.2">
      <c r="A16" s="19" t="s">
        <v>699</v>
      </c>
    </row>
    <row r="18" spans="1:1" ht="15" customHeight="1" x14ac:dyDescent="0.2">
      <c r="A18" s="10" t="s">
        <v>700</v>
      </c>
    </row>
    <row r="19" spans="1:1" ht="69.75" customHeight="1" x14ac:dyDescent="0.2">
      <c r="A19" s="19" t="s">
        <v>701</v>
      </c>
    </row>
    <row r="21" spans="1:1" ht="15" customHeight="1" x14ac:dyDescent="0.2">
      <c r="A21" s="10" t="s">
        <v>702</v>
      </c>
    </row>
    <row r="22" spans="1:1" ht="97.5" customHeight="1" x14ac:dyDescent="0.2">
      <c r="A22" s="19" t="s">
        <v>703</v>
      </c>
    </row>
    <row r="24" spans="1:1" ht="15" customHeight="1" x14ac:dyDescent="0.2">
      <c r="A24" s="10" t="s">
        <v>704</v>
      </c>
    </row>
    <row r="25" spans="1:1" ht="69.75" customHeight="1" x14ac:dyDescent="0.2">
      <c r="A25" s="19" t="s">
        <v>705</v>
      </c>
    </row>
  </sheetData>
  <phoneticPr fontId="22" type="noConversion"/>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36"/>
  <sheetViews>
    <sheetView zoomScaleNormal="100" workbookViewId="0">
      <selection activeCell="J23" sqref="J23"/>
    </sheetView>
  </sheetViews>
  <sheetFormatPr baseColWidth="10" defaultColWidth="8.6640625" defaultRowHeight="15" x14ac:dyDescent="0.2"/>
  <cols>
    <col min="1" max="1" width="10" customWidth="1"/>
    <col min="2" max="2" width="7" customWidth="1"/>
    <col min="3" max="3" width="10" customWidth="1"/>
    <col min="4" max="9" width="11" customWidth="1"/>
    <col min="10" max="12" width="14" customWidth="1"/>
  </cols>
  <sheetData>
    <row r="1" spans="1:14" ht="15.75" customHeight="1" x14ac:dyDescent="0.2">
      <c r="A1" s="7" t="s">
        <v>706</v>
      </c>
    </row>
    <row r="2" spans="1:14" ht="45" customHeight="1" x14ac:dyDescent="0.2">
      <c r="A2" s="2" t="s">
        <v>707</v>
      </c>
      <c r="B2" s="2"/>
      <c r="C2" s="2"/>
      <c r="D2" s="2"/>
      <c r="E2" s="2"/>
      <c r="F2" s="2"/>
      <c r="G2" s="2"/>
      <c r="H2" s="2"/>
      <c r="I2" s="2"/>
      <c r="J2" s="2"/>
      <c r="K2" s="2"/>
      <c r="L2" s="2"/>
      <c r="M2" s="2"/>
      <c r="N2" s="2"/>
    </row>
    <row r="4" spans="1:14" ht="15" customHeight="1" x14ac:dyDescent="0.2">
      <c r="A4" s="11" t="s">
        <v>708</v>
      </c>
      <c r="B4" s="11" t="s">
        <v>419</v>
      </c>
      <c r="C4" s="11" t="s">
        <v>709</v>
      </c>
      <c r="D4" s="11" t="s">
        <v>710</v>
      </c>
      <c r="E4" s="11" t="s">
        <v>711</v>
      </c>
      <c r="F4" s="11" t="s">
        <v>712</v>
      </c>
      <c r="G4" s="11" t="s">
        <v>713</v>
      </c>
      <c r="H4" s="11" t="s">
        <v>714</v>
      </c>
      <c r="I4" s="11" t="s">
        <v>715</v>
      </c>
      <c r="J4" s="11" t="s">
        <v>716</v>
      </c>
      <c r="K4" s="11" t="s">
        <v>717</v>
      </c>
      <c r="L4" s="11" t="s">
        <v>718</v>
      </c>
    </row>
    <row r="5" spans="1:14" ht="15" customHeight="1" x14ac:dyDescent="0.2">
      <c r="A5" s="102">
        <v>1</v>
      </c>
      <c r="B5" s="103">
        <v>0.3</v>
      </c>
      <c r="C5" s="102">
        <v>1</v>
      </c>
      <c r="D5" s="24">
        <v>9.2040598244205005E-2</v>
      </c>
      <c r="E5" s="24">
        <v>5.2337812445392803E-2</v>
      </c>
      <c r="F5" s="24">
        <v>0.14262313724046799</v>
      </c>
      <c r="G5" s="24">
        <v>0.11696154716009401</v>
      </c>
      <c r="H5" s="24">
        <v>0.19217083097184601</v>
      </c>
      <c r="I5" s="24">
        <v>0.209134055390583</v>
      </c>
      <c r="J5" s="14">
        <v>60</v>
      </c>
      <c r="K5" s="14">
        <v>60</v>
      </c>
      <c r="L5" s="14">
        <v>60</v>
      </c>
    </row>
    <row r="6" spans="1:14" ht="15" customHeight="1" x14ac:dyDescent="0.2">
      <c r="A6" s="102">
        <v>1</v>
      </c>
      <c r="B6" s="103">
        <v>0.3</v>
      </c>
      <c r="C6" s="102">
        <v>2</v>
      </c>
      <c r="D6" s="24">
        <v>6.98204289185647E-2</v>
      </c>
      <c r="E6" s="24">
        <v>4.9346081471352402E-2</v>
      </c>
      <c r="F6" s="24">
        <v>0.113286348313291</v>
      </c>
      <c r="G6" s="24">
        <v>0.11065833379069</v>
      </c>
      <c r="H6" s="24">
        <v>0.15717650879171299</v>
      </c>
      <c r="I6" s="24">
        <v>0.20063725945768801</v>
      </c>
      <c r="J6" s="14">
        <v>60</v>
      </c>
      <c r="K6" s="14">
        <v>60</v>
      </c>
      <c r="L6" s="14">
        <v>60</v>
      </c>
    </row>
    <row r="7" spans="1:14" ht="15" customHeight="1" x14ac:dyDescent="0.2">
      <c r="A7" s="102">
        <v>1</v>
      </c>
      <c r="B7" s="103">
        <v>0.3</v>
      </c>
      <c r="C7" s="102">
        <v>3</v>
      </c>
      <c r="D7" s="24">
        <v>5.3561747140833803E-2</v>
      </c>
      <c r="E7" s="24">
        <v>4.6605391818655299E-2</v>
      </c>
      <c r="F7" s="24">
        <v>9.2469993239355994E-2</v>
      </c>
      <c r="G7" s="24">
        <v>0.10527766932600099</v>
      </c>
      <c r="H7" s="24">
        <v>0.133523943567287</v>
      </c>
      <c r="I7" s="24">
        <v>0.19382366780697</v>
      </c>
      <c r="J7" s="14">
        <v>60</v>
      </c>
      <c r="K7" s="14">
        <v>60</v>
      </c>
      <c r="L7" s="14">
        <v>60</v>
      </c>
    </row>
    <row r="8" spans="1:14" ht="15" customHeight="1" x14ac:dyDescent="0.2">
      <c r="A8" s="102">
        <v>1</v>
      </c>
      <c r="B8" s="103">
        <v>0.3</v>
      </c>
      <c r="C8" s="102">
        <v>4</v>
      </c>
      <c r="D8" s="24">
        <v>4.0713705356120802E-2</v>
      </c>
      <c r="E8" s="24">
        <v>4.40705771665479E-2</v>
      </c>
      <c r="F8" s="24">
        <v>7.6471682370846505E-2</v>
      </c>
      <c r="G8" s="24">
        <v>0.10059926567789</v>
      </c>
      <c r="H8" s="24">
        <v>0.116138196367873</v>
      </c>
      <c r="I8" s="24">
        <v>0.18824895028083399</v>
      </c>
      <c r="J8" s="14">
        <v>60</v>
      </c>
      <c r="K8" s="14">
        <v>60</v>
      </c>
      <c r="L8" s="14">
        <v>60</v>
      </c>
    </row>
    <row r="9" spans="1:14" ht="15" customHeight="1" x14ac:dyDescent="0.2">
      <c r="A9" s="102">
        <v>1</v>
      </c>
      <c r="B9" s="103">
        <v>0.3</v>
      </c>
      <c r="C9" s="102">
        <v>5</v>
      </c>
      <c r="D9" s="24">
        <v>2.6138602083648502E-2</v>
      </c>
      <c r="E9" s="24">
        <v>4.0790137865693202E-2</v>
      </c>
      <c r="F9" s="24">
        <v>5.8749788613707603E-2</v>
      </c>
      <c r="G9" s="24">
        <v>9.4874732139890006E-2</v>
      </c>
      <c r="H9" s="24">
        <v>9.7673895384663895E-2</v>
      </c>
      <c r="I9" s="24">
        <v>0.18181077985559199</v>
      </c>
      <c r="J9" s="14">
        <v>60</v>
      </c>
      <c r="K9" s="14">
        <v>60</v>
      </c>
      <c r="L9" s="14">
        <v>60</v>
      </c>
    </row>
    <row r="10" spans="1:14" ht="15" customHeight="1" x14ac:dyDescent="0.2">
      <c r="A10" s="102">
        <v>1</v>
      </c>
      <c r="B10" s="103">
        <v>0.3</v>
      </c>
      <c r="C10" s="102">
        <v>6</v>
      </c>
      <c r="D10" s="24">
        <v>1.3974171520349601E-2</v>
      </c>
      <c r="E10" s="24">
        <v>3.77261662971611E-2</v>
      </c>
      <c r="F10" s="24">
        <v>4.4269679052886E-2</v>
      </c>
      <c r="G10" s="24">
        <v>8.9795055081825198E-2</v>
      </c>
      <c r="H10" s="24">
        <v>8.3195995812037196E-2</v>
      </c>
      <c r="I10" s="24">
        <v>0.17640839967091099</v>
      </c>
      <c r="J10" s="14">
        <v>60</v>
      </c>
      <c r="K10" s="14">
        <v>60</v>
      </c>
      <c r="L10" s="14">
        <v>60</v>
      </c>
    </row>
    <row r="11" spans="1:14" ht="15" customHeight="1" x14ac:dyDescent="0.2">
      <c r="A11" s="102">
        <v>1</v>
      </c>
      <c r="B11" s="103">
        <v>0.3</v>
      </c>
      <c r="C11" s="102">
        <v>7</v>
      </c>
      <c r="D11" s="24">
        <v>3.3881237218611501E-3</v>
      </c>
      <c r="E11" s="24">
        <v>3.4838777959435699E-2</v>
      </c>
      <c r="F11" s="24">
        <v>3.1912461440349899E-2</v>
      </c>
      <c r="G11" s="24">
        <v>8.5225855566684702E-2</v>
      </c>
      <c r="H11" s="24">
        <v>7.1317754456336799E-2</v>
      </c>
      <c r="I11" s="24">
        <v>0.171820542247138</v>
      </c>
      <c r="J11" s="14">
        <v>60</v>
      </c>
      <c r="K11" s="14">
        <v>60</v>
      </c>
      <c r="L11" s="14">
        <v>60</v>
      </c>
    </row>
    <row r="12" spans="1:14" ht="15" customHeight="1" x14ac:dyDescent="0.2">
      <c r="A12" s="102">
        <v>1</v>
      </c>
      <c r="B12" s="103">
        <v>0.3</v>
      </c>
      <c r="C12" s="102">
        <v>8</v>
      </c>
      <c r="D12" s="24">
        <v>-6.1327493511537101E-3</v>
      </c>
      <c r="E12" s="24">
        <v>3.2095807705714498E-2</v>
      </c>
      <c r="F12" s="24">
        <v>2.0995618942204902E-2</v>
      </c>
      <c r="G12" s="24">
        <v>8.1067711773081599E-2</v>
      </c>
      <c r="H12" s="24">
        <v>6.1220658858474497E-2</v>
      </c>
      <c r="I12" s="24">
        <v>0.16788710030141901</v>
      </c>
      <c r="J12" s="14">
        <v>60</v>
      </c>
      <c r="K12" s="14">
        <v>60</v>
      </c>
      <c r="L12" s="14">
        <v>60</v>
      </c>
    </row>
    <row r="13" spans="1:14" ht="15" customHeight="1" x14ac:dyDescent="0.2">
      <c r="A13" s="102">
        <v>1</v>
      </c>
      <c r="B13" s="103">
        <v>0</v>
      </c>
      <c r="C13" s="102">
        <v>1</v>
      </c>
      <c r="D13" s="24">
        <v>-1.7275321257077499E-3</v>
      </c>
      <c r="E13" s="24">
        <v>-1.00834131741863E-2</v>
      </c>
      <c r="F13" s="24">
        <v>2.2755932416587601E-2</v>
      </c>
      <c r="G13" s="24">
        <v>1.3396892092234099E-2</v>
      </c>
      <c r="H13" s="24">
        <v>5.47894044462989E-2</v>
      </c>
      <c r="I13" s="24">
        <v>5.7348896582033897E-2</v>
      </c>
      <c r="J13" s="14">
        <v>60</v>
      </c>
      <c r="K13" s="14">
        <v>60</v>
      </c>
      <c r="L13" s="14">
        <v>60</v>
      </c>
    </row>
    <row r="14" spans="1:14" ht="15" customHeight="1" x14ac:dyDescent="0.2">
      <c r="A14" s="102">
        <v>1</v>
      </c>
      <c r="B14" s="103">
        <v>0</v>
      </c>
      <c r="C14" s="102">
        <v>2</v>
      </c>
      <c r="D14" s="24">
        <v>-8.3739762280490293E-3</v>
      </c>
      <c r="E14" s="24">
        <v>-1.1432200866456599E-2</v>
      </c>
      <c r="F14" s="24">
        <v>1.4883522367357399E-2</v>
      </c>
      <c r="G14" s="24">
        <v>1.1611444941976599E-2</v>
      </c>
      <c r="H14" s="24">
        <v>4.6933154354465302E-2</v>
      </c>
      <c r="I14" s="24">
        <v>5.5660282447062899E-2</v>
      </c>
      <c r="J14" s="14">
        <v>60</v>
      </c>
      <c r="K14" s="14">
        <v>60</v>
      </c>
      <c r="L14" s="14">
        <v>60</v>
      </c>
    </row>
    <row r="15" spans="1:14" ht="15" customHeight="1" x14ac:dyDescent="0.2">
      <c r="A15" s="102">
        <v>1</v>
      </c>
      <c r="B15" s="103">
        <v>0</v>
      </c>
      <c r="C15" s="102">
        <v>3</v>
      </c>
      <c r="D15" s="24">
        <v>-1.44262609401478E-2</v>
      </c>
      <c r="E15" s="24">
        <v>-1.2763465058934199E-2</v>
      </c>
      <c r="F15" s="24">
        <v>7.8681942768208408E-3</v>
      </c>
      <c r="G15" s="24">
        <v>9.8906467156196793E-3</v>
      </c>
      <c r="H15" s="24">
        <v>4.0168874569359102E-2</v>
      </c>
      <c r="I15" s="24">
        <v>5.4094449584615401E-2</v>
      </c>
      <c r="J15" s="14">
        <v>60</v>
      </c>
      <c r="K15" s="14">
        <v>60</v>
      </c>
      <c r="L15" s="14">
        <v>60</v>
      </c>
    </row>
    <row r="16" spans="1:14" ht="15" customHeight="1" x14ac:dyDescent="0.2">
      <c r="A16" s="102">
        <v>1</v>
      </c>
      <c r="B16" s="103">
        <v>0</v>
      </c>
      <c r="C16" s="102">
        <v>4</v>
      </c>
      <c r="D16" s="24">
        <v>-2.0056428068836899E-2</v>
      </c>
      <c r="E16" s="24">
        <v>-1.40827227996582E-2</v>
      </c>
      <c r="F16" s="24">
        <v>1.46224480440327E-3</v>
      </c>
      <c r="G16" s="24">
        <v>8.2230452505354101E-3</v>
      </c>
      <c r="H16" s="24">
        <v>3.4190215165419202E-2</v>
      </c>
      <c r="I16" s="24">
        <v>5.2634432294432799E-2</v>
      </c>
      <c r="J16" s="14">
        <v>60</v>
      </c>
      <c r="K16" s="14">
        <v>60</v>
      </c>
      <c r="L16" s="14">
        <v>60</v>
      </c>
    </row>
    <row r="17" spans="1:12" ht="15" customHeight="1" x14ac:dyDescent="0.2">
      <c r="A17" s="102">
        <v>1</v>
      </c>
      <c r="B17" s="103">
        <v>0</v>
      </c>
      <c r="C17" s="102">
        <v>5</v>
      </c>
      <c r="D17" s="24">
        <v>-2.5388715132097801E-2</v>
      </c>
      <c r="E17" s="24">
        <v>-1.53951701009822E-2</v>
      </c>
      <c r="F17" s="24">
        <v>-4.5063062090757696E-3</v>
      </c>
      <c r="G17" s="24">
        <v>6.5987149868684796E-3</v>
      </c>
      <c r="H17" s="24">
        <v>2.8794142838249399E-2</v>
      </c>
      <c r="I17" s="24">
        <v>5.12663967111959E-2</v>
      </c>
      <c r="J17" s="14">
        <v>60</v>
      </c>
      <c r="K17" s="14">
        <v>60</v>
      </c>
      <c r="L17" s="14">
        <v>60</v>
      </c>
    </row>
    <row r="18" spans="1:12" ht="15" customHeight="1" x14ac:dyDescent="0.2">
      <c r="A18" s="102">
        <v>1</v>
      </c>
      <c r="B18" s="103">
        <v>0</v>
      </c>
      <c r="C18" s="102">
        <v>6</v>
      </c>
      <c r="D18" s="24">
        <v>-3.05182541349488E-2</v>
      </c>
      <c r="E18" s="24">
        <v>-1.6705800400817501E-2</v>
      </c>
      <c r="F18" s="24">
        <v>-1.01641321803625E-2</v>
      </c>
      <c r="G18" s="24">
        <v>5.0088824622400701E-3</v>
      </c>
      <c r="H18" s="24">
        <v>2.38387358367389E-2</v>
      </c>
      <c r="I18" s="24">
        <v>4.9978913111814002E-2</v>
      </c>
      <c r="J18" s="14">
        <v>60</v>
      </c>
      <c r="K18" s="14">
        <v>60</v>
      </c>
      <c r="L18" s="14">
        <v>60</v>
      </c>
    </row>
    <row r="19" spans="1:12" ht="15" customHeight="1" x14ac:dyDescent="0.2">
      <c r="A19" s="102">
        <v>1</v>
      </c>
      <c r="B19" s="103">
        <v>0</v>
      </c>
      <c r="C19" s="102">
        <v>7</v>
      </c>
      <c r="D19" s="24">
        <v>-3.5522183234594197E-2</v>
      </c>
      <c r="E19" s="24">
        <v>-1.8019510877385601E-2</v>
      </c>
      <c r="F19" s="24">
        <v>-1.56099016430622E-2</v>
      </c>
      <c r="G19" s="24">
        <v>3.4456353323555301E-3</v>
      </c>
      <c r="H19" s="24">
        <v>1.9220229142305999E-2</v>
      </c>
      <c r="I19" s="24">
        <v>4.8762427201041902E-2</v>
      </c>
      <c r="J19" s="14">
        <v>60</v>
      </c>
      <c r="K19" s="14">
        <v>60</v>
      </c>
      <c r="L19" s="14">
        <v>60</v>
      </c>
    </row>
    <row r="20" spans="1:12" ht="15" customHeight="1" x14ac:dyDescent="0.2">
      <c r="A20" s="102">
        <v>1</v>
      </c>
      <c r="B20" s="103">
        <v>0</v>
      </c>
      <c r="C20" s="102">
        <v>8</v>
      </c>
      <c r="D20" s="24">
        <v>-4.0466795370723799E-2</v>
      </c>
      <c r="E20" s="24">
        <v>-1.9341202487183701E-2</v>
      </c>
      <c r="F20" s="24">
        <v>-2.0924905109739302E-2</v>
      </c>
      <c r="G20" s="24">
        <v>1.90168883060493E-3</v>
      </c>
      <c r="H20" s="24">
        <v>1.48596517230939E-2</v>
      </c>
      <c r="I20" s="24">
        <v>4.7608868423207003E-2</v>
      </c>
      <c r="J20" s="14">
        <v>60</v>
      </c>
      <c r="K20" s="14">
        <v>60</v>
      </c>
      <c r="L20" s="14">
        <v>60</v>
      </c>
    </row>
    <row r="21" spans="1:12" ht="15" customHeight="1" x14ac:dyDescent="0.2">
      <c r="A21" s="102">
        <v>2</v>
      </c>
      <c r="B21" s="103">
        <v>0.3</v>
      </c>
      <c r="C21" s="102">
        <v>1</v>
      </c>
      <c r="D21" s="24">
        <v>9.2040598244205005E-2</v>
      </c>
      <c r="E21" s="24">
        <v>6.9830283858528699E-2</v>
      </c>
      <c r="F21" s="24">
        <v>0.14262313724046799</v>
      </c>
      <c r="G21" s="24">
        <v>0.155594560371452</v>
      </c>
      <c r="H21" s="24">
        <v>0.19217083097184601</v>
      </c>
      <c r="I21" s="24">
        <v>0.25529907012536002</v>
      </c>
      <c r="J21" s="14">
        <v>121.26</v>
      </c>
      <c r="K21" s="14">
        <v>116.35</v>
      </c>
      <c r="L21" s="14">
        <v>108.93</v>
      </c>
    </row>
    <row r="22" spans="1:12" ht="15" customHeight="1" x14ac:dyDescent="0.2">
      <c r="A22" s="102">
        <v>2</v>
      </c>
      <c r="B22" s="103">
        <v>0.3</v>
      </c>
      <c r="C22" s="102">
        <v>2</v>
      </c>
      <c r="D22" s="24">
        <v>6.98204289185647E-2</v>
      </c>
      <c r="E22" s="24">
        <v>8.5551610318985297E-2</v>
      </c>
      <c r="F22" s="24">
        <v>0.113286348313291</v>
      </c>
      <c r="G22" s="24">
        <v>0.18898242375379301</v>
      </c>
      <c r="H22" s="24">
        <v>0.15717650879171299</v>
      </c>
      <c r="I22" s="24">
        <v>0.28701967177464899</v>
      </c>
      <c r="J22" s="14">
        <v>121.26</v>
      </c>
      <c r="K22" s="14">
        <v>116.35</v>
      </c>
      <c r="L22" s="14">
        <v>108.93</v>
      </c>
    </row>
    <row r="23" spans="1:12" ht="15" customHeight="1" x14ac:dyDescent="0.2">
      <c r="A23" s="102">
        <v>2</v>
      </c>
      <c r="B23" s="103">
        <v>0.3</v>
      </c>
      <c r="C23" s="102">
        <v>3</v>
      </c>
      <c r="D23" s="24">
        <v>5.3561747140833803E-2</v>
      </c>
      <c r="E23" s="24">
        <v>0.10197786018119499</v>
      </c>
      <c r="F23" s="24">
        <v>9.2469993239355994E-2</v>
      </c>
      <c r="G23" s="24">
        <v>0.21965323580871399</v>
      </c>
      <c r="H23" s="24">
        <v>0.133523943567287</v>
      </c>
      <c r="I23" s="24">
        <v>0.31222545558562598</v>
      </c>
      <c r="J23" s="14">
        <v>121.26</v>
      </c>
      <c r="K23" s="14">
        <v>116.35</v>
      </c>
      <c r="L23" s="14">
        <v>108.93</v>
      </c>
    </row>
    <row r="24" spans="1:12" ht="15" customHeight="1" x14ac:dyDescent="0.2">
      <c r="A24" s="102">
        <v>2</v>
      </c>
      <c r="B24" s="103">
        <v>0.3</v>
      </c>
      <c r="C24" s="102">
        <v>4</v>
      </c>
      <c r="D24" s="24">
        <v>4.0713705356120802E-2</v>
      </c>
      <c r="E24" s="24">
        <v>0.117943230805293</v>
      </c>
      <c r="F24" s="24">
        <v>7.6471682370846505E-2</v>
      </c>
      <c r="G24" s="24">
        <v>0.244431978297178</v>
      </c>
      <c r="H24" s="24">
        <v>0.116138196367873</v>
      </c>
      <c r="I24" s="24">
        <v>0.330819685549955</v>
      </c>
      <c r="J24" s="14">
        <v>121.26</v>
      </c>
      <c r="K24" s="14">
        <v>116.35</v>
      </c>
      <c r="L24" s="14">
        <v>108.93</v>
      </c>
    </row>
    <row r="25" spans="1:12" ht="15" customHeight="1" x14ac:dyDescent="0.2">
      <c r="A25" s="102">
        <v>2</v>
      </c>
      <c r="B25" s="103">
        <v>0.3</v>
      </c>
      <c r="C25" s="102">
        <v>5</v>
      </c>
      <c r="D25" s="24">
        <v>2.6138602083648502E-2</v>
      </c>
      <c r="E25" s="24">
        <v>0.13804291408814401</v>
      </c>
      <c r="F25" s="24">
        <v>5.8749788613707603E-2</v>
      </c>
      <c r="G25" s="24">
        <v>0.26999325772334998</v>
      </c>
      <c r="H25" s="24">
        <v>9.7673895384663895E-2</v>
      </c>
      <c r="I25" s="24">
        <v>0.349064959649656</v>
      </c>
      <c r="J25" s="14">
        <v>121.26</v>
      </c>
      <c r="K25" s="14">
        <v>116.35</v>
      </c>
      <c r="L25" s="14">
        <v>108.93</v>
      </c>
    </row>
    <row r="26" spans="1:12" ht="15" customHeight="1" x14ac:dyDescent="0.2">
      <c r="A26" s="102">
        <v>2</v>
      </c>
      <c r="B26" s="103">
        <v>0.3</v>
      </c>
      <c r="C26" s="102">
        <v>6</v>
      </c>
      <c r="D26" s="24">
        <v>1.3974171520349601E-2</v>
      </c>
      <c r="E26" s="24">
        <v>0.15492342802796699</v>
      </c>
      <c r="F26" s="24">
        <v>4.4269679052886E-2</v>
      </c>
      <c r="G26" s="24">
        <v>0.28799631113518598</v>
      </c>
      <c r="H26" s="24">
        <v>8.3195995812037196E-2</v>
      </c>
      <c r="I26" s="24">
        <v>0.361585713467651</v>
      </c>
      <c r="J26" s="14">
        <v>121.26</v>
      </c>
      <c r="K26" s="14">
        <v>116.35</v>
      </c>
      <c r="L26" s="14">
        <v>108.93</v>
      </c>
    </row>
    <row r="27" spans="1:12" ht="15" customHeight="1" x14ac:dyDescent="0.2">
      <c r="A27" s="102">
        <v>2</v>
      </c>
      <c r="B27" s="103">
        <v>0.3</v>
      </c>
      <c r="C27" s="102">
        <v>7</v>
      </c>
      <c r="D27" s="24">
        <v>3.3881237218611501E-3</v>
      </c>
      <c r="E27" s="24">
        <v>0.168427528991202</v>
      </c>
      <c r="F27" s="24">
        <v>3.1912461440349899E-2</v>
      </c>
      <c r="G27" s="24">
        <v>0.30058497328299999</v>
      </c>
      <c r="H27" s="24">
        <v>7.1317754456336799E-2</v>
      </c>
      <c r="I27" s="24">
        <v>0.370170791731047</v>
      </c>
      <c r="J27" s="14">
        <v>121.26</v>
      </c>
      <c r="K27" s="14">
        <v>116.35</v>
      </c>
      <c r="L27" s="14">
        <v>108.93</v>
      </c>
    </row>
    <row r="28" spans="1:12" ht="15" customHeight="1" x14ac:dyDescent="0.2">
      <c r="A28" s="102">
        <v>2</v>
      </c>
      <c r="B28" s="103">
        <v>0.3</v>
      </c>
      <c r="C28" s="102">
        <v>8</v>
      </c>
      <c r="D28" s="24">
        <v>-6.1327493511537101E-3</v>
      </c>
      <c r="E28" s="24">
        <v>0.178988047911737</v>
      </c>
      <c r="F28" s="24">
        <v>2.0995618942204902E-2</v>
      </c>
      <c r="G28" s="24">
        <v>0.30943149925548402</v>
      </c>
      <c r="H28" s="24">
        <v>6.1220658858474497E-2</v>
      </c>
      <c r="I28" s="24">
        <v>0.376086654752812</v>
      </c>
      <c r="J28" s="14">
        <v>121.26</v>
      </c>
      <c r="K28" s="14">
        <v>116.35</v>
      </c>
      <c r="L28" s="14">
        <v>108.93</v>
      </c>
    </row>
    <row r="29" spans="1:12" ht="15" customHeight="1" x14ac:dyDescent="0.2">
      <c r="A29" s="102">
        <v>2</v>
      </c>
      <c r="B29" s="103">
        <v>0</v>
      </c>
      <c r="C29" s="102">
        <v>1</v>
      </c>
      <c r="D29" s="24">
        <v>-1.7275321257077499E-3</v>
      </c>
      <c r="E29" s="24">
        <v>-1.25089353825958E-3</v>
      </c>
      <c r="F29" s="24">
        <v>2.2755932416587601E-2</v>
      </c>
      <c r="G29" s="24">
        <v>2.4351480094112501E-2</v>
      </c>
      <c r="H29" s="24">
        <v>5.47894044462989E-2</v>
      </c>
      <c r="I29" s="24">
        <v>6.6824960664478406E-2</v>
      </c>
      <c r="J29" s="14">
        <v>136.93</v>
      </c>
      <c r="K29" s="14">
        <v>129.77000000000001</v>
      </c>
      <c r="L29" s="14">
        <v>122.14</v>
      </c>
    </row>
    <row r="30" spans="1:12" ht="15" customHeight="1" x14ac:dyDescent="0.2">
      <c r="A30" s="102">
        <v>2</v>
      </c>
      <c r="B30" s="103">
        <v>0</v>
      </c>
      <c r="C30" s="102">
        <v>2</v>
      </c>
      <c r="D30" s="24">
        <v>-8.3739762280490293E-3</v>
      </c>
      <c r="E30" s="24">
        <v>7.14533103253956E-3</v>
      </c>
      <c r="F30" s="24">
        <v>1.4883522367357399E-2</v>
      </c>
      <c r="G30" s="24">
        <v>3.4464643355377897E-2</v>
      </c>
      <c r="H30" s="24">
        <v>4.6933154354465302E-2</v>
      </c>
      <c r="I30" s="24">
        <v>7.4790785166753804E-2</v>
      </c>
      <c r="J30" s="14">
        <v>136.93</v>
      </c>
      <c r="K30" s="14">
        <v>129.77000000000001</v>
      </c>
      <c r="L30" s="14">
        <v>122.14</v>
      </c>
    </row>
    <row r="31" spans="1:12" ht="15" customHeight="1" x14ac:dyDescent="0.2">
      <c r="A31" s="102">
        <v>2</v>
      </c>
      <c r="B31" s="103">
        <v>0</v>
      </c>
      <c r="C31" s="102">
        <v>3</v>
      </c>
      <c r="D31" s="24">
        <v>-1.44262609401478E-2</v>
      </c>
      <c r="E31" s="24">
        <v>1.6393497488137902E-2</v>
      </c>
      <c r="F31" s="24">
        <v>7.8681942768208408E-3</v>
      </c>
      <c r="G31" s="24">
        <v>4.5379294914588801E-2</v>
      </c>
      <c r="H31" s="24">
        <v>4.0168874569359102E-2</v>
      </c>
      <c r="I31" s="24">
        <v>8.28650656905736E-2</v>
      </c>
      <c r="J31" s="14">
        <v>136.93</v>
      </c>
      <c r="K31" s="14">
        <v>129.77000000000001</v>
      </c>
      <c r="L31" s="14">
        <v>122.14</v>
      </c>
    </row>
    <row r="32" spans="1:12" ht="15" customHeight="1" x14ac:dyDescent="0.2">
      <c r="A32" s="102">
        <v>2</v>
      </c>
      <c r="B32" s="103">
        <v>0</v>
      </c>
      <c r="C32" s="102">
        <v>4</v>
      </c>
      <c r="D32" s="24">
        <v>-2.0056428068836899E-2</v>
      </c>
      <c r="E32" s="24">
        <v>2.6268093028587899E-2</v>
      </c>
      <c r="F32" s="24">
        <v>1.46224480440327E-3</v>
      </c>
      <c r="G32" s="24">
        <v>5.66879888596208E-2</v>
      </c>
      <c r="H32" s="24">
        <v>3.4190215165419202E-2</v>
      </c>
      <c r="I32" s="24">
        <v>9.0797403177545102E-2</v>
      </c>
      <c r="J32" s="14">
        <v>136.93</v>
      </c>
      <c r="K32" s="14">
        <v>129.77000000000001</v>
      </c>
      <c r="L32" s="14">
        <v>122.14</v>
      </c>
    </row>
    <row r="33" spans="1:12" ht="15" customHeight="1" x14ac:dyDescent="0.2">
      <c r="A33" s="102">
        <v>2</v>
      </c>
      <c r="B33" s="103">
        <v>0</v>
      </c>
      <c r="C33" s="102">
        <v>5</v>
      </c>
      <c r="D33" s="24">
        <v>-2.5388715132097801E-2</v>
      </c>
      <c r="E33" s="24">
        <v>3.6405343104730897E-2</v>
      </c>
      <c r="F33" s="24">
        <v>-4.5063062090757696E-3</v>
      </c>
      <c r="G33" s="24">
        <v>6.7864284730967395E-2</v>
      </c>
      <c r="H33" s="24">
        <v>2.8794142838249399E-2</v>
      </c>
      <c r="I33" s="24">
        <v>9.8345473067706496E-2</v>
      </c>
      <c r="J33" s="14">
        <v>136.93</v>
      </c>
      <c r="K33" s="14">
        <v>129.77000000000001</v>
      </c>
      <c r="L33" s="14">
        <v>122.14</v>
      </c>
    </row>
    <row r="34" spans="1:12" ht="15" customHeight="1" x14ac:dyDescent="0.2">
      <c r="A34" s="102">
        <v>2</v>
      </c>
      <c r="B34" s="103">
        <v>0</v>
      </c>
      <c r="C34" s="102">
        <v>6</v>
      </c>
      <c r="D34" s="24">
        <v>-3.05182541349488E-2</v>
      </c>
      <c r="E34" s="24">
        <v>4.6372380453072903E-2</v>
      </c>
      <c r="F34" s="24">
        <v>-1.01641321803625E-2</v>
      </c>
      <c r="G34" s="24">
        <v>7.8403877721406695E-2</v>
      </c>
      <c r="H34" s="24">
        <v>2.38387358367389E-2</v>
      </c>
      <c r="I34" s="24">
        <v>0.10531815139786301</v>
      </c>
      <c r="J34" s="14">
        <v>136.93</v>
      </c>
      <c r="K34" s="14">
        <v>129.77000000000001</v>
      </c>
      <c r="L34" s="14">
        <v>122.14</v>
      </c>
    </row>
    <row r="35" spans="1:12" ht="15" customHeight="1" x14ac:dyDescent="0.2">
      <c r="A35" s="102">
        <v>2</v>
      </c>
      <c r="B35" s="103">
        <v>0</v>
      </c>
      <c r="C35" s="102">
        <v>7</v>
      </c>
      <c r="D35" s="24">
        <v>-3.5522183234594197E-2</v>
      </c>
      <c r="E35" s="24">
        <v>5.5775683327139502E-2</v>
      </c>
      <c r="F35" s="24">
        <v>-1.56099016430622E-2</v>
      </c>
      <c r="G35" s="24">
        <v>8.7951231642426006E-2</v>
      </c>
      <c r="H35" s="24">
        <v>1.9220229142305999E-2</v>
      </c>
      <c r="I35" s="24">
        <v>0.11159893909889</v>
      </c>
      <c r="J35" s="14">
        <v>136.93</v>
      </c>
      <c r="K35" s="14">
        <v>129.77000000000001</v>
      </c>
      <c r="L35" s="14">
        <v>122.14</v>
      </c>
    </row>
    <row r="36" spans="1:12" ht="15" customHeight="1" x14ac:dyDescent="0.2">
      <c r="A36" s="102">
        <v>2</v>
      </c>
      <c r="B36" s="103">
        <v>0</v>
      </c>
      <c r="C36" s="102">
        <v>8</v>
      </c>
      <c r="D36" s="24">
        <v>-4.0466795370723799E-2</v>
      </c>
      <c r="E36" s="24">
        <v>6.4344699146335005E-2</v>
      </c>
      <c r="F36" s="24">
        <v>-2.0924905109739302E-2</v>
      </c>
      <c r="G36" s="24">
        <v>9.6340738033044798E-2</v>
      </c>
      <c r="H36" s="24">
        <v>1.48596517230939E-2</v>
      </c>
      <c r="I36" s="24">
        <v>0.11714520245494101</v>
      </c>
      <c r="J36" s="14">
        <v>136.93</v>
      </c>
      <c r="K36" s="14">
        <v>129.77000000000001</v>
      </c>
      <c r="L36" s="14">
        <v>122.14</v>
      </c>
    </row>
  </sheetData>
  <mergeCells count="1">
    <mergeCell ref="A2:N2"/>
  </mergeCells>
  <phoneticPr fontId="22" type="noConversion"/>
  <pageMargins left="0.75" right="0.75" top="1" bottom="1" header="0.511811023622047" footer="0.511811023622047"/>
  <pageSetup paperSize="9" orientation="portrait" horizontalDpi="300" verticalDpi="30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7"/>
  <sheetViews>
    <sheetView zoomScaleNormal="100" workbookViewId="0"/>
  </sheetViews>
  <sheetFormatPr baseColWidth="10" defaultColWidth="8.6640625" defaultRowHeight="15" x14ac:dyDescent="0.2"/>
  <cols>
    <col min="1" max="1" width="24" customWidth="1"/>
    <col min="2" max="2" width="14" customWidth="1"/>
    <col min="3" max="3" width="12" customWidth="1"/>
    <col min="4" max="5" width="18" customWidth="1"/>
    <col min="6" max="7" width="12" customWidth="1"/>
    <col min="8" max="9" width="16" customWidth="1"/>
    <col min="10" max="10" width="12" customWidth="1"/>
  </cols>
  <sheetData>
    <row r="1" spans="1:10" ht="15.75" customHeight="1" x14ac:dyDescent="0.2">
      <c r="A1" s="7" t="s">
        <v>719</v>
      </c>
    </row>
    <row r="2" spans="1:10" ht="15" customHeight="1" x14ac:dyDescent="0.2">
      <c r="A2" s="1" t="s">
        <v>720</v>
      </c>
      <c r="B2" s="1"/>
      <c r="C2" s="1"/>
      <c r="D2" s="1"/>
      <c r="E2" s="1"/>
      <c r="F2" s="1"/>
      <c r="G2" s="1"/>
      <c r="H2" s="1"/>
    </row>
    <row r="4" spans="1:10" ht="15" customHeight="1" x14ac:dyDescent="0.2">
      <c r="A4" s="11" t="s">
        <v>721</v>
      </c>
      <c r="B4" s="11" t="s">
        <v>722</v>
      </c>
      <c r="C4" s="11" t="s">
        <v>723</v>
      </c>
      <c r="D4" s="11" t="s">
        <v>724</v>
      </c>
      <c r="E4" s="11" t="s">
        <v>725</v>
      </c>
      <c r="F4" s="11" t="s">
        <v>726</v>
      </c>
      <c r="G4" s="11" t="s">
        <v>727</v>
      </c>
      <c r="H4" s="11" t="s">
        <v>728</v>
      </c>
      <c r="I4" s="11" t="s">
        <v>729</v>
      </c>
      <c r="J4" s="11" t="s">
        <v>730</v>
      </c>
    </row>
    <row r="5" spans="1:10" ht="15" customHeight="1" x14ac:dyDescent="0.2">
      <c r="A5" s="77" t="s">
        <v>731</v>
      </c>
      <c r="B5" s="26">
        <f ca="1">M4_Bounds!B13</f>
        <v>79.695070358761029</v>
      </c>
      <c r="C5" s="26">
        <f>M4_Bounds!B12</f>
        <v>111.0373554816268</v>
      </c>
      <c r="D5" s="26">
        <f>M4_Pricing!B33</f>
        <v>154.19412982086416</v>
      </c>
      <c r="E5" s="26">
        <f>M4_Bounds!$B$5</f>
        <v>162.81741354642315</v>
      </c>
      <c r="F5" s="104">
        <f ca="1">(B5+E5)/2</f>
        <v>121.25624195259209</v>
      </c>
      <c r="G5" s="104">
        <f ca="1">B5</f>
        <v>79.695070358761029</v>
      </c>
      <c r="H5" s="104">
        <f ca="1">D5-B5</f>
        <v>74.499059462103133</v>
      </c>
      <c r="I5" s="104">
        <f>E5-D5</f>
        <v>8.6232837255589914</v>
      </c>
      <c r="J5" s="26">
        <f>Inputs!$B$19</f>
        <v>60</v>
      </c>
    </row>
    <row r="6" spans="1:10" ht="15" customHeight="1" x14ac:dyDescent="0.2">
      <c r="A6" s="77" t="s">
        <v>732</v>
      </c>
      <c r="B6" s="26">
        <f ca="1">M4_Bounds!C13</f>
        <v>69.890035580022001</v>
      </c>
      <c r="C6" s="26">
        <f>M4_Bounds!C12</f>
        <v>96.729959676210697</v>
      </c>
      <c r="D6" s="26">
        <f>M4_Pricing!C33</f>
        <v>132.53661061297916</v>
      </c>
      <c r="E6" s="26">
        <f>M4_Bounds!$B$5</f>
        <v>162.81741354642315</v>
      </c>
      <c r="F6" s="104">
        <f ca="1">(B6+E6)/2</f>
        <v>116.35372456322258</v>
      </c>
      <c r="G6" s="104">
        <f ca="1">B6</f>
        <v>69.890035580022001</v>
      </c>
      <c r="H6" s="104">
        <f ca="1">D6-B6</f>
        <v>62.646575032957159</v>
      </c>
      <c r="I6" s="104">
        <f>E6-D6</f>
        <v>30.280802933443994</v>
      </c>
      <c r="J6" s="26">
        <f>Inputs!$B$19</f>
        <v>60</v>
      </c>
    </row>
    <row r="7" spans="1:10" ht="15" customHeight="1" x14ac:dyDescent="0.2">
      <c r="A7" s="77" t="s">
        <v>733</v>
      </c>
      <c r="B7" s="26">
        <f ca="1">M4_Bounds!D13</f>
        <v>55.052334668338297</v>
      </c>
      <c r="C7" s="26">
        <f>M4_Bounds!D12</f>
        <v>81.464799954214399</v>
      </c>
      <c r="D7" s="26">
        <f>M4_Pricing!D33</f>
        <v>122.20837327979849</v>
      </c>
      <c r="E7" s="26">
        <f>M4_Bounds!$B$5</f>
        <v>162.81741354642315</v>
      </c>
      <c r="F7" s="104">
        <f ca="1">(B7+E7)/2</f>
        <v>108.93487410738072</v>
      </c>
      <c r="G7" s="104">
        <f ca="1">B7</f>
        <v>55.052334668338297</v>
      </c>
      <c r="H7" s="104">
        <f ca="1">D7-B7</f>
        <v>67.15603861146019</v>
      </c>
      <c r="I7" s="104">
        <f>E7-D7</f>
        <v>40.60904026662466</v>
      </c>
      <c r="J7" s="26">
        <f>Inputs!$B$19</f>
        <v>60</v>
      </c>
    </row>
  </sheetData>
  <mergeCells count="1">
    <mergeCell ref="A2:H2"/>
  </mergeCells>
  <phoneticPr fontId="22" type="noConversion"/>
  <pageMargins left="0.75" right="0.75" top="1" bottom="1" header="0.511811023622047" footer="0.511811023622047"/>
  <pageSetup paperSize="9" orientation="portrait" horizontalDpi="300" verticalDpi="30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1"/>
  <sheetViews>
    <sheetView zoomScaleNormal="100" workbookViewId="0"/>
  </sheetViews>
  <sheetFormatPr baseColWidth="10" defaultColWidth="8.6640625" defaultRowHeight="15" x14ac:dyDescent="0.2"/>
  <cols>
    <col min="1" max="1" width="7" customWidth="1"/>
    <col min="2" max="2" width="11" customWidth="1"/>
    <col min="3" max="3" width="12" customWidth="1"/>
    <col min="4" max="4" width="11" customWidth="1"/>
    <col min="5" max="5" width="12" customWidth="1"/>
    <col min="6" max="6" width="11" customWidth="1"/>
    <col min="7" max="7" width="12" customWidth="1"/>
    <col min="8" max="8" width="9" customWidth="1"/>
    <col min="9" max="9" width="11" customWidth="1"/>
  </cols>
  <sheetData>
    <row r="1" spans="1:9" ht="15.75" customHeight="1" x14ac:dyDescent="0.2">
      <c r="A1" s="7" t="s">
        <v>734</v>
      </c>
    </row>
    <row r="2" spans="1:9" ht="31.5" customHeight="1" x14ac:dyDescent="0.2">
      <c r="A2" s="2" t="s">
        <v>735</v>
      </c>
      <c r="B2" s="2"/>
      <c r="C2" s="2"/>
      <c r="D2" s="2"/>
      <c r="E2" s="2"/>
      <c r="F2" s="2"/>
      <c r="G2" s="2"/>
      <c r="H2" s="2"/>
    </row>
    <row r="4" spans="1:9" ht="15" customHeight="1" x14ac:dyDescent="0.2">
      <c r="A4" s="11" t="s">
        <v>736</v>
      </c>
      <c r="B4" s="11" t="s">
        <v>737</v>
      </c>
      <c r="C4" s="11" t="s">
        <v>738</v>
      </c>
      <c r="D4" s="11" t="s">
        <v>739</v>
      </c>
      <c r="E4" s="11" t="s">
        <v>740</v>
      </c>
      <c r="F4" s="11" t="s">
        <v>741</v>
      </c>
      <c r="G4" s="11" t="s">
        <v>742</v>
      </c>
      <c r="H4" s="11" t="s">
        <v>743</v>
      </c>
      <c r="I4" s="11" t="s">
        <v>744</v>
      </c>
    </row>
    <row r="5" spans="1:9" ht="15" customHeight="1" x14ac:dyDescent="0.2">
      <c r="A5" s="105">
        <v>0</v>
      </c>
      <c r="B5" s="24">
        <v>6.2704805373221095E-2</v>
      </c>
      <c r="C5" s="24">
        <v>0.33218457437992499</v>
      </c>
      <c r="D5" s="24">
        <v>0.11874048257165799</v>
      </c>
      <c r="E5" s="24">
        <v>0.41162119897146199</v>
      </c>
      <c r="F5" s="24">
        <v>0.17731193531363099</v>
      </c>
      <c r="G5" s="24">
        <v>0.59871351950059504</v>
      </c>
      <c r="H5" s="41">
        <f>M4_Pricing!$B$7</f>
        <v>0.1</v>
      </c>
      <c r="I5" s="41">
        <f>M4_Pricing!$B$8</f>
        <v>0.2</v>
      </c>
    </row>
    <row r="6" spans="1:9" ht="15" customHeight="1" x14ac:dyDescent="0.2">
      <c r="A6" s="105">
        <v>0.1</v>
      </c>
      <c r="B6" s="24">
        <v>7.1890821707494598E-2</v>
      </c>
      <c r="C6" s="24">
        <v>0.31743607737196999</v>
      </c>
      <c r="D6" s="24">
        <v>0.138701442442143</v>
      </c>
      <c r="E6" s="24">
        <v>0.38023017219597</v>
      </c>
      <c r="F6" s="24">
        <v>0.20215961403395999</v>
      </c>
      <c r="G6" s="24">
        <v>0.53473208943540895</v>
      </c>
      <c r="H6" s="41">
        <f>M4_Pricing!$B$7</f>
        <v>0.1</v>
      </c>
      <c r="I6" s="41">
        <f>M4_Pricing!$B$8</f>
        <v>0.2</v>
      </c>
    </row>
    <row r="7" spans="1:9" ht="15" customHeight="1" x14ac:dyDescent="0.2">
      <c r="A7" s="105">
        <v>0.2</v>
      </c>
      <c r="B7" s="24">
        <v>8.1970424451814003E-2</v>
      </c>
      <c r="C7" s="24">
        <v>0.302687580364014</v>
      </c>
      <c r="D7" s="24">
        <v>0.16164930590236901</v>
      </c>
      <c r="E7" s="24">
        <v>0.348839145420479</v>
      </c>
      <c r="F7" s="24">
        <v>0.23069493470491401</v>
      </c>
      <c r="G7" s="24">
        <v>0.47075065937022298</v>
      </c>
      <c r="H7" s="41">
        <f>M4_Pricing!$B$7</f>
        <v>0.1</v>
      </c>
      <c r="I7" s="41">
        <f>M4_Pricing!$B$8</f>
        <v>0.2</v>
      </c>
    </row>
    <row r="8" spans="1:9" ht="15" customHeight="1" x14ac:dyDescent="0.2">
      <c r="A8" s="105">
        <v>0.35</v>
      </c>
      <c r="B8" s="24">
        <v>9.8876141227821096E-2</v>
      </c>
      <c r="C8" s="24">
        <v>0.280564834852081</v>
      </c>
      <c r="D8" s="24">
        <v>0.20109878495119399</v>
      </c>
      <c r="E8" s="24">
        <v>0.30175260525724101</v>
      </c>
      <c r="F8" s="24">
        <v>0.27903097203368998</v>
      </c>
      <c r="G8" s="24">
        <v>0.37477851427244502</v>
      </c>
      <c r="H8" s="41">
        <f>M4_Pricing!$B$7</f>
        <v>0.1</v>
      </c>
      <c r="I8" s="41">
        <f>M4_Pricing!$B$8</f>
        <v>0.2</v>
      </c>
    </row>
    <row r="9" spans="1:9" ht="15" customHeight="1" x14ac:dyDescent="0.2">
      <c r="A9" s="105">
        <v>0.5</v>
      </c>
      <c r="B9" s="24">
        <v>0.117943230805292</v>
      </c>
      <c r="C9" s="24">
        <v>0.25844208934014801</v>
      </c>
      <c r="D9" s="24">
        <v>0.244431978297178</v>
      </c>
      <c r="E9" s="24">
        <v>0.25466606509400402</v>
      </c>
      <c r="F9" s="24">
        <v>0.330819685549955</v>
      </c>
      <c r="G9" s="24">
        <v>0.278806369174667</v>
      </c>
      <c r="H9" s="41">
        <f>M4_Pricing!$B$7</f>
        <v>0.1</v>
      </c>
      <c r="I9" s="41">
        <f>M4_Pricing!$B$8</f>
        <v>0.2</v>
      </c>
    </row>
    <row r="10" spans="1:9" ht="15" customHeight="1" x14ac:dyDescent="0.2">
      <c r="A10" s="105">
        <v>0.65</v>
      </c>
      <c r="B10" s="24">
        <v>0.13896209526783199</v>
      </c>
      <c r="C10" s="24">
        <v>0.23631934382821501</v>
      </c>
      <c r="D10" s="24">
        <v>0.28879562955549198</v>
      </c>
      <c r="E10" s="24">
        <v>0.20757952493076601</v>
      </c>
      <c r="F10" s="24">
        <v>0.38276249282485503</v>
      </c>
      <c r="G10" s="24">
        <v>0.18283422407688801</v>
      </c>
      <c r="H10" s="41">
        <f>M4_Pricing!$B$7</f>
        <v>0.1</v>
      </c>
      <c r="I10" s="41">
        <f>M4_Pricing!$B$8</f>
        <v>0.2</v>
      </c>
    </row>
    <row r="11" spans="1:9" ht="15" customHeight="1" x14ac:dyDescent="0.2">
      <c r="A11" s="105">
        <v>0.8</v>
      </c>
      <c r="B11" s="24">
        <v>0.16147569142799201</v>
      </c>
      <c r="C11" s="24">
        <v>0.21419659831628199</v>
      </c>
      <c r="D11" s="24">
        <v>0.33218360516850398</v>
      </c>
      <c r="E11" s="24">
        <v>0.16049298476752899</v>
      </c>
      <c r="F11" s="24">
        <v>0.432930661480252</v>
      </c>
      <c r="G11" s="24">
        <v>8.6862078979110094E-2</v>
      </c>
      <c r="H11" s="41">
        <f>M4_Pricing!$B$7</f>
        <v>0.1</v>
      </c>
      <c r="I11" s="41">
        <f>M4_Pricing!$B$8</f>
        <v>0.2</v>
      </c>
    </row>
  </sheetData>
  <mergeCells count="1">
    <mergeCell ref="A2:H2"/>
  </mergeCells>
  <phoneticPr fontId="22" type="noConversion"/>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工作表</vt:lpstr>
      </vt:variant>
      <vt:variant>
        <vt:i4>27</vt:i4>
      </vt:variant>
    </vt:vector>
  </HeadingPairs>
  <TitlesOfParts>
    <vt:vector size="27" baseType="lpstr">
      <vt:lpstr>_Index</vt:lpstr>
      <vt:lpstr>M1_Inputs</vt:lpstr>
      <vt:lpstr>M1_Benchmarks</vt:lpstr>
      <vt:lpstr>M1_Scenarios</vt:lpstr>
      <vt:lpstr>M1_Notes</vt:lpstr>
      <vt:lpstr>Inputs</vt:lpstr>
      <vt:lpstr>Configurations</vt:lpstr>
      <vt:lpstr>Capitalization</vt:lpstr>
      <vt:lpstr>SolarBase</vt:lpstr>
      <vt:lpstr>SolarColoc</vt:lpstr>
      <vt:lpstr>WindBase</vt:lpstr>
      <vt:lpstr>WindColoc</vt:lpstr>
      <vt:lpstr>GeoBase</vt:lpstr>
      <vt:lpstr>GeoColoc</vt:lpstr>
      <vt:lpstr>Results</vt:lpstr>
      <vt:lpstr>M3_Inputs</vt:lpstr>
      <vt:lpstr>M3_Coverage</vt:lpstr>
      <vt:lpstr>M3_StructA_B</vt:lpstr>
      <vt:lpstr>M3_StructC</vt:lpstr>
      <vt:lpstr>M3_Results</vt:lpstr>
      <vt:lpstr>M4_LCOE</vt:lpstr>
      <vt:lpstr>M4_Bounds</vt:lpstr>
      <vt:lpstr>M4_Pricing</vt:lpstr>
      <vt:lpstr>M4_Notes</vt:lpstr>
      <vt:lpstr>Fig2_Breakeven</vt:lpstr>
      <vt:lpstr>Fig3_Zone</vt:lpstr>
      <vt:lpstr>Fig4_Alpha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Leyao Zhang</cp:lastModifiedBy>
  <cp:revision>6</cp:revision>
  <dcterms:created xsi:type="dcterms:W3CDTF">2026-07-31T12:53:20Z</dcterms:created>
  <dcterms:modified xsi:type="dcterms:W3CDTF">2026-09-30T18:12:26Z</dcterms:modified>
  <dc:language>en-US</dc:language>
</cp:coreProperties>
</file>