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verage" sheetId="2" state="visible" r:id="rId4"/>
    <sheet name="StructA_B" sheetId="3" state="visible" r:id="rId5"/>
    <sheet name="StructC" sheetId="4" state="visible" r:id="rId6"/>
    <sheet name="Resul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<sst xmlns="http://schemas.openxmlformats.org/spreadsheetml/2006/main" count="150" uniqueCount="119">
  <si>
    <t xml:space="preserve">Model 3 - Data Center Electricity Cost Model - INPUTS</t>
  </si>
  <si>
    <t xml:space="preserve">Blue = hardcoded input. Yellow = PLACEHOLDER pending sourced data. Column D = source.</t>
  </si>
  <si>
    <t xml:space="preserve">SEC 1: DATA CENTER LOAD</t>
  </si>
  <si>
    <t xml:space="preserve">DC nameplate load</t>
  </si>
  <si>
    <t xml:space="preserve">MW</t>
  </si>
  <si>
    <t xml:space="preserve">Scenario setting (user; central case of 50/100/200 MW matrix)</t>
  </si>
  <si>
    <t xml:space="preserve">DC load factor</t>
  </si>
  <si>
    <t xml:space="preserve">frac</t>
  </si>
  <si>
    <t xml:space="preserve">PLACEHOLDER - AI DC annualized utilization; to be sourced (lit. / Chien interview). Typical claim 85-95%.</t>
  </si>
  <si>
    <t xml:space="preserve">Hours per year</t>
  </si>
  <si>
    <t xml:space="preserve">hrs</t>
  </si>
  <si>
    <t xml:space="preserve">Constant</t>
  </si>
  <si>
    <t xml:space="preserve">Annual DC demand</t>
  </si>
  <si>
    <t xml:space="preserve">MWh/yr</t>
  </si>
  <si>
    <t xml:space="preserve">Calc: nameplate x LF x 8760</t>
  </si>
  <si>
    <t xml:space="preserve">SEC 2: GENERATION SUPPLY (from Model 2 configs)</t>
  </si>
  <si>
    <t xml:space="preserve">Solar net capacity factor</t>
  </si>
  <si>
    <t xml:space="preserve">PLACEHOLDER - Model 2 SolarBase net of degradation/availability/losses (gross CF 25-30%, NREL ATB 2024, https://atb.nrel.gov/electricity/2024/technologies)</t>
  </si>
  <si>
    <t xml:space="preserve">Wind net capacity factor</t>
  </si>
  <si>
    <t xml:space="preserve">PLACEHOLDER - Model 2 WindBase net (gross 30-35%, NREL ATB 2024)</t>
  </si>
  <si>
    <t xml:space="preserve">Geothermal net capacity factor</t>
  </si>
  <si>
    <t xml:space="preserve">PLACEHOLDER - Model 2 GeoBase net (gross 90%+, NREL ATB 2024)</t>
  </si>
  <si>
    <t xml:space="preserve">Solar capacity</t>
  </si>
  <si>
    <t xml:space="preserve">Model 2 configuration</t>
  </si>
  <si>
    <t xml:space="preserve">Wind capacity</t>
  </si>
  <si>
    <t xml:space="preserve">Geothermal capacity</t>
  </si>
  <si>
    <t xml:space="preserve">BESS round-trip efficiency</t>
  </si>
  <si>
    <t xml:space="preserve">Framework Sec 2.5.3 (85-90%); applied to shifted energy share - simplified: coverage treated as energy-balance bound, hourly dispatch pending</t>
  </si>
  <si>
    <t xml:space="preserve">SEC 3: PRICES - SOURCED</t>
  </si>
  <si>
    <t xml:space="preserve">CAISO HV Transmission Access Charge (TAC)</t>
  </si>
  <si>
    <t xml:space="preserve">$/MWh</t>
  </si>
  <si>
    <t xml:space="preserve">CAISO, High Voltage Access Charge Rates effective Jan 1 2026, https://www.caiso.com/documents/high-voltage-access-charge-rates-effective-jan-01-2026.pdf</t>
  </si>
  <si>
    <t xml:space="preserve">RA capacity price (system, wtd avg)</t>
  </si>
  <si>
    <t xml:space="preserve">$/kW-mo</t>
  </si>
  <si>
    <t xml:space="preserve">CPUC, 2025 LCR-RCM calculation (Q1-Q4 2024 contracts, 2025-26 delivery), https://www.cpuc.ca.gov/-/media/cpuc-website/divisions/energy-division/documents/resource-adequacy-homepage/resource-adequacy-compliance-materials/lcr-rcm-2025.pdf</t>
  </si>
  <si>
    <t xml:space="preserve">Planning reserve margin (PRM)</t>
  </si>
  <si>
    <t xml:space="preserve">CPUC D.25-06-048 (June 2025), Slice-of-Day framework, https://www.cpuc.ca.gov/-/media/cpuc-website/divisions/energy-division/documents/resource-adequacy-homepage/oga-fact-sheet-on-track-3-decision-final.pdf</t>
  </si>
  <si>
    <t xml:space="preserve">Utility bundled all-in rate (Structure A)</t>
  </si>
  <si>
    <t xml:space="preserve">PG&amp;E Schedule B-20 Primary, total electricity cost $0.23691/kWh, rates as of Mar 1 2026, PG&amp;E-3CE Joint Rate Comparison, https://www.pge.com/assets/pge/docs/account/alternate-energy-providers/3ce-rcc.pdf. Note: transmission-voltage (B-20 T) would be somewhat lower; treat as upper reference.</t>
  </si>
  <si>
    <t xml:space="preserve">EIA-861 CA industrial avg (cross-check)</t>
  </si>
  <si>
    <t xml:space="preserve">EIA-861 2024, California industrial average retail price (prior extraction; re-verify at https://www.eia.gov/electricity/data/eia861/)</t>
  </si>
  <si>
    <t xml:space="preserve">Non-bypassable charges (NBC: PCIA/PPP/ND/wildfire)</t>
  </si>
  <si>
    <t xml:space="preserve">PLACEHOLDER - anchored to PG&amp;E PCIA/FF line ~$0.023/kWh in PG&amp;E joint rate comparisons (see B-20 rows, same PG&amp;E PDFs); decompose properly from PG&amp;E/SCE tariff sheets</t>
  </si>
  <si>
    <t xml:space="preserve">SEC 4: PRICES - PLACEHOLDERS (pending Model 1 / Model 4)</t>
  </si>
  <si>
    <t xml:space="preserve">Grid PPA energy price (Structure B)</t>
  </si>
  <si>
    <t xml:space="preserve">PLACEHOLDER - market comparable needed (LevelTen CAISO index or similar); do NOT reuse project LCOE (circularity)</t>
  </si>
  <si>
    <t xml:space="preserve">BTM PPA price (Structure C)</t>
  </si>
  <si>
    <t xml:space="preserve">PLACEHOLDER - Model 4 output pending; currently midpoint assumption from Model 2</t>
  </si>
  <si>
    <t xml:space="preserve">Ancillary services + CAISO GMC</t>
  </si>
  <si>
    <t xml:space="preserve">PLACEHOLDER - CAISO GMC ~$0.4-0.5 + AS; source from CAISO market charges schedule</t>
  </si>
  <si>
    <t xml:space="preserve">Scheduling coordinator fee</t>
  </si>
  <si>
    <t xml:space="preserve">PLACEHOLDER</t>
  </si>
  <si>
    <t xml:space="preserve">Shaping / imbalance cost</t>
  </si>
  <si>
    <t xml:space="preserve">PLACEHOLDER - as-generated renewable vs flat load mismatch; source from hourly dispatch model when built</t>
  </si>
  <si>
    <t xml:space="preserve">Microgrid service fee (paid by DC)</t>
  </si>
  <si>
    <t xml:space="preserve">Framework Sec 3.2 range $2-5/MWh. ALLOCATION ASSUMPTION: microgrid CAPEX sits in Model 2 project CAPEX; DC pays service fee only - no double count</t>
  </si>
  <si>
    <t xml:space="preserve">Backup power cost (diesel, Phase 1)</t>
  </si>
  <si>
    <t xml:space="preserve">PLACEHOLDER - CA diesel gen fuel+O&amp;M+permits; source needed (e.g., Lazard LCOE+ gas peaking as proxy, CARB permit constraints)</t>
  </si>
  <si>
    <t xml:space="preserve">Standby charge (Phase 2, grid backup)</t>
  </si>
  <si>
    <t xml:space="preserve">PLACEHOLDER - CPUC standby/departing-load tariff (e.g., PG&amp;E Schedule S); convert $/kW-mo to $/MWh once sourced</t>
  </si>
  <si>
    <t xml:space="preserve">Energy-Balance Coverage by Configuration</t>
  </si>
  <si>
    <t xml:space="preserve">Coverage = min(1, annual net generation / annual DC demand). Energy-balance upper bound: BESS shifts timing but cannot create energy. Hourly dispatch (pending) will only lower these.</t>
  </si>
  <si>
    <t xml:space="preserve">Solar+BESS</t>
  </si>
  <si>
    <t xml:space="preserve">Wind+BESS</t>
  </si>
  <si>
    <t xml:space="preserve">Geo+BESS</t>
  </si>
  <si>
    <t xml:space="preserve">Capacity (MW)</t>
  </si>
  <si>
    <t xml:space="preserve">Net capacity factor</t>
  </si>
  <si>
    <t xml:space="preserve">Annual net generation (MWh)</t>
  </si>
  <si>
    <t xml:space="preserve">Annual DC demand (MWh)</t>
  </si>
  <si>
    <t xml:space="preserve">Coverage ratio (capped at 100%)</t>
  </si>
  <si>
    <t xml:space="preserve">Uncovered share (backup/grid)</t>
  </si>
  <si>
    <t xml:space="preserve">Structure A: Utility Tariff (bundled, all-in)</t>
  </si>
  <si>
    <t xml:space="preserve">All-in delivered cost ($/MWh)</t>
  </si>
  <si>
    <t xml:space="preserve">PG&amp;E B-20 Primary, Mar 2026. Upper reference; transmission voltage would be lower.</t>
  </si>
  <si>
    <t xml:space="preserve">Cross-check: EIA-861 CA industrial avg</t>
  </si>
  <si>
    <t xml:space="preserve">Structure B: Sleeved Grid PPA (all-in delivered)</t>
  </si>
  <si>
    <t xml:space="preserve">VPPA treated as sensitivity (see note row 20). Sleeved = physical delivery via grid at transmission voltage.</t>
  </si>
  <si>
    <t xml:space="preserve">PPA energy price</t>
  </si>
  <si>
    <t xml:space="preserve">Placeholder pending market comp</t>
  </si>
  <si>
    <t xml:space="preserve">CAISO TAC (HV)</t>
  </si>
  <si>
    <t xml:space="preserve">Sourced - CAISO Jan 2026</t>
  </si>
  <si>
    <t xml:space="preserve">Non-bypassable charges</t>
  </si>
  <si>
    <t xml:space="preserve">Placeholder range</t>
  </si>
  <si>
    <t xml:space="preserve">Resource Adequacy</t>
  </si>
  <si>
    <t xml:space="preserve">Calc: nameplate kW x (1+PRM) x $/kW-mo x 12 / annual MWh. Price and PRM sourced.</t>
  </si>
  <si>
    <t xml:space="preserve">Ancillary + GMC</t>
  </si>
  <si>
    <t xml:space="preserve">Placeholder</t>
  </si>
  <si>
    <t xml:space="preserve">Scheduling coordinator</t>
  </si>
  <si>
    <t xml:space="preserve">Shaping / imbalance</t>
  </si>
  <si>
    <t xml:space="preserve">Structure B all-in ($/MWh)</t>
  </si>
  <si>
    <t xml:space="preserve">KEY FINDING</t>
  </si>
  <si>
    <t xml:space="preserve">RA capacity cost alone adds ~$45/MWh to a flat 100 MW load. Structure B all-in far exceeds the framework's $60-90/MWh estimate, resolving the Model 3 internal inconsistency in the direction of a WIDER negotiation zone.</t>
  </si>
  <si>
    <t xml:space="preserve">VPPA sensitivity: VPPA cost = Structure A retail cost + (PPA price - hub LMP settlement). Requires Model 1 LMP; deferred.</t>
  </si>
  <si>
    <t xml:space="preserve">Structure C: BTM Co-location (all-in $/MWh to the DC)</t>
  </si>
  <si>
    <t xml:space="preserve">Phase 1 = islanded (queue wait): backup fills uncovered share. Phase 2 = grid-connected: grid supply fills uncovered share.</t>
  </si>
  <si>
    <t xml:space="preserve">Coverage ratio</t>
  </si>
  <si>
    <t xml:space="preserve">PHASE 1 (islanded, queue-wait window)</t>
  </si>
  <si>
    <t xml:space="preserve">BTM energy component</t>
  </si>
  <si>
    <t xml:space="preserve">Backup component (uncovered x diesel)</t>
  </si>
  <si>
    <t xml:space="preserve">Microgrid service fee</t>
  </si>
  <si>
    <t xml:space="preserve">Phase 1 all-in ($/MWh)</t>
  </si>
  <si>
    <t xml:space="preserve">PHASE 2 (grid-connected, post-COD)</t>
  </si>
  <si>
    <t xml:space="preserve">Grid supplemental (uncovered x [PPA+TAC+NBC])</t>
  </si>
  <si>
    <t xml:space="preserve">Standby charge</t>
  </si>
  <si>
    <t xml:space="preserve">Phase 2 all-in ($/MWh)</t>
  </si>
  <si>
    <t xml:space="preserve">Note: Phase 2 grid supplemental assumes RA embedded in supplemental supply price is NOT separately charged (conservative low); alternative adds pro-rata RA - test in sensitivity.</t>
  </si>
  <si>
    <t xml:space="preserve">Model 3 Results - Effective Delivered Cost and H2 Test</t>
  </si>
  <si>
    <t xml:space="preserve">Structure A - utility tariff ($/MWh)</t>
  </si>
  <si>
    <t xml:space="preserve">Structure B - sleeved grid PPA all-in ($/MWh)</t>
  </si>
  <si>
    <t xml:space="preserve">Structure C - Phase 1 islanded ($/MWh)</t>
  </si>
  <si>
    <t xml:space="preserve">Structure C - Phase 2 grid-connected ($/MWh)</t>
  </si>
  <si>
    <t xml:space="preserve">H2 TEST - dual denominator</t>
  </si>
  <si>
    <t xml:space="preserve">Savings, P1 vs B all-in: (B-C1)/B</t>
  </si>
  <si>
    <t xml:space="preserve">Savings, P2 vs B all-in: (B-C2)/B</t>
  </si>
  <si>
    <t xml:space="preserve">Savings, P1 vs B PPA price only</t>
  </si>
  <si>
    <t xml:space="preserve">Savings, P2 vs B PPA price only</t>
  </si>
  <si>
    <t xml:space="preserve">H2 (20-35%) met on all-in basis, Phase 1?</t>
  </si>
  <si>
    <t xml:space="preserve">READING</t>
  </si>
  <si>
    <t xml:space="preserve">The vs-PPA-price-only rows will show negative 'savings' for low-coverage configs (solar) because backup cost dominates - this is why the all-in denominator is the meaningful H2 test.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</si>
</sst>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%"/>
    <numFmt numFmtId="167" formatCode="0.0%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9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5"/>
      <c r="C3" s="5"/>
      <c r="D3" s="5"/>
    </row>
    <row r="4" customFormat="false" ht="15" hidden="false" customHeight="true" outlineLevel="0" collapsed="false">
      <c r="A4" s="6" t="s">
        <v>3</v>
      </c>
      <c r="B4" s="7" t="n">
        <v>100</v>
      </c>
      <c r="C4" s="3" t="s">
        <v>4</v>
      </c>
      <c r="D4" s="3" t="s">
        <v>5</v>
      </c>
    </row>
    <row r="5" customFormat="false" ht="15" hidden="false" customHeight="true" outlineLevel="0" collapsed="false">
      <c r="A5" s="6" t="s">
        <v>6</v>
      </c>
      <c r="B5" s="8" t="n">
        <v>0.9</v>
      </c>
      <c r="C5" s="3" t="s">
        <v>7</v>
      </c>
      <c r="D5" s="3" t="s">
        <v>8</v>
      </c>
    </row>
    <row r="6" customFormat="false" ht="15" hidden="false" customHeight="true" outlineLevel="0" collapsed="false">
      <c r="A6" s="6" t="s">
        <v>9</v>
      </c>
      <c r="B6" s="7" t="n">
        <v>8760</v>
      </c>
      <c r="C6" s="3" t="s">
        <v>10</v>
      </c>
      <c r="D6" s="3" t="s">
        <v>11</v>
      </c>
    </row>
    <row r="7" customFormat="false" ht="15" hidden="false" customHeight="true" outlineLevel="0" collapsed="false">
      <c r="A7" s="6" t="s">
        <v>12</v>
      </c>
      <c r="B7" s="6" t="n">
        <f aca="false">B4*B5*B6</f>
        <v>788400</v>
      </c>
      <c r="C7" s="3" t="s">
        <v>13</v>
      </c>
      <c r="D7" s="3" t="s">
        <v>14</v>
      </c>
    </row>
    <row r="8" customFormat="false" ht="15" hidden="false" customHeight="true" outlineLevel="0" collapsed="false">
      <c r="A8" s="4" t="s">
        <v>15</v>
      </c>
      <c r="B8" s="5"/>
      <c r="C8" s="5"/>
      <c r="D8" s="5"/>
    </row>
    <row r="9" customFormat="false" ht="15" hidden="false" customHeight="true" outlineLevel="0" collapsed="false">
      <c r="A9" s="6" t="s">
        <v>16</v>
      </c>
      <c r="B9" s="8" t="n">
        <v>0.26</v>
      </c>
      <c r="C9" s="3" t="s">
        <v>7</v>
      </c>
      <c r="D9" s="3" t="s">
        <v>17</v>
      </c>
    </row>
    <row r="10" customFormat="false" ht="15" hidden="false" customHeight="true" outlineLevel="0" collapsed="false">
      <c r="A10" s="6" t="s">
        <v>18</v>
      </c>
      <c r="B10" s="8" t="n">
        <v>0.33</v>
      </c>
      <c r="C10" s="3" t="s">
        <v>7</v>
      </c>
      <c r="D10" s="3" t="s">
        <v>19</v>
      </c>
    </row>
    <row r="11" customFormat="false" ht="15" hidden="false" customHeight="true" outlineLevel="0" collapsed="false">
      <c r="A11" s="6" t="s">
        <v>20</v>
      </c>
      <c r="B11" s="8" t="n">
        <v>0.87</v>
      </c>
      <c r="C11" s="3" t="s">
        <v>7</v>
      </c>
      <c r="D11" s="3" t="s">
        <v>21</v>
      </c>
    </row>
    <row r="12" customFormat="false" ht="15" hidden="false" customHeight="true" outlineLevel="0" collapsed="false">
      <c r="A12" s="6" t="s">
        <v>22</v>
      </c>
      <c r="B12" s="7" t="n">
        <v>100</v>
      </c>
      <c r="C12" s="3" t="s">
        <v>4</v>
      </c>
      <c r="D12" s="3" t="s">
        <v>23</v>
      </c>
    </row>
    <row r="13" customFormat="false" ht="15" hidden="false" customHeight="true" outlineLevel="0" collapsed="false">
      <c r="A13" s="6" t="s">
        <v>24</v>
      </c>
      <c r="B13" s="7" t="n">
        <v>150</v>
      </c>
      <c r="C13" s="3" t="s">
        <v>4</v>
      </c>
      <c r="D13" s="3" t="s">
        <v>23</v>
      </c>
    </row>
    <row r="14" customFormat="false" ht="15" hidden="false" customHeight="true" outlineLevel="0" collapsed="false">
      <c r="A14" s="6" t="s">
        <v>25</v>
      </c>
      <c r="B14" s="7" t="n">
        <v>100</v>
      </c>
      <c r="C14" s="3" t="s">
        <v>4</v>
      </c>
      <c r="D14" s="3" t="s">
        <v>23</v>
      </c>
    </row>
    <row r="15" customFormat="false" ht="15" hidden="false" customHeight="true" outlineLevel="0" collapsed="false">
      <c r="A15" s="6" t="s">
        <v>26</v>
      </c>
      <c r="B15" s="8" t="n">
        <v>0.875</v>
      </c>
      <c r="C15" s="3" t="s">
        <v>7</v>
      </c>
      <c r="D15" s="3" t="s">
        <v>27</v>
      </c>
    </row>
    <row r="16" customFormat="false" ht="15" hidden="false" customHeight="true" outlineLevel="0" collapsed="false">
      <c r="A16" s="4" t="s">
        <v>28</v>
      </c>
      <c r="B16" s="5"/>
      <c r="C16" s="5"/>
      <c r="D16" s="5"/>
    </row>
    <row r="17" customFormat="false" ht="15" hidden="false" customHeight="true" outlineLevel="0" collapsed="false">
      <c r="A17" s="6" t="s">
        <v>29</v>
      </c>
      <c r="B17" s="7" t="n">
        <v>15.5751</v>
      </c>
      <c r="C17" s="3" t="s">
        <v>30</v>
      </c>
      <c r="D17" s="3" t="s">
        <v>31</v>
      </c>
    </row>
    <row r="18" customFormat="false" ht="15" hidden="false" customHeight="true" outlineLevel="0" collapsed="false">
      <c r="A18" s="6" t="s">
        <v>32</v>
      </c>
      <c r="B18" s="7" t="n">
        <v>25.19</v>
      </c>
      <c r="C18" s="3" t="s">
        <v>33</v>
      </c>
      <c r="D18" s="3" t="s">
        <v>34</v>
      </c>
    </row>
    <row r="19" customFormat="false" ht="15" hidden="false" customHeight="true" outlineLevel="0" collapsed="false">
      <c r="A19" s="6" t="s">
        <v>35</v>
      </c>
      <c r="B19" s="9" t="n">
        <v>0.18</v>
      </c>
      <c r="C19" s="3" t="s">
        <v>7</v>
      </c>
      <c r="D19" s="3" t="s">
        <v>36</v>
      </c>
    </row>
    <row r="20" customFormat="false" ht="15" hidden="false" customHeight="true" outlineLevel="0" collapsed="false">
      <c r="A20" s="6" t="s">
        <v>37</v>
      </c>
      <c r="B20" s="7" t="n">
        <v>236.91</v>
      </c>
      <c r="C20" s="3" t="s">
        <v>30</v>
      </c>
      <c r="D20" s="3" t="s">
        <v>38</v>
      </c>
    </row>
    <row r="21" customFormat="false" ht="15" hidden="false" customHeight="true" outlineLevel="0" collapsed="false">
      <c r="A21" s="6" t="s">
        <v>39</v>
      </c>
      <c r="B21" s="7" t="n">
        <v>215.3</v>
      </c>
      <c r="C21" s="3" t="s">
        <v>30</v>
      </c>
      <c r="D21" s="3" t="s">
        <v>40</v>
      </c>
    </row>
    <row r="22" customFormat="false" ht="15" hidden="false" customHeight="true" outlineLevel="0" collapsed="false">
      <c r="A22" s="6" t="s">
        <v>41</v>
      </c>
      <c r="B22" s="10" t="n">
        <v>23</v>
      </c>
      <c r="C22" s="3" t="s">
        <v>30</v>
      </c>
      <c r="D22" s="3" t="s">
        <v>42</v>
      </c>
    </row>
    <row r="23" customFormat="false" ht="15" hidden="false" customHeight="true" outlineLevel="0" collapsed="false">
      <c r="A23" s="4" t="s">
        <v>43</v>
      </c>
      <c r="B23" s="5"/>
      <c r="C23" s="5"/>
      <c r="D23" s="5"/>
    </row>
    <row r="24" customFormat="false" ht="15" hidden="false" customHeight="true" outlineLevel="0" collapsed="false">
      <c r="A24" s="6" t="s">
        <v>44</v>
      </c>
      <c r="B24" s="10" t="n">
        <v>70</v>
      </c>
      <c r="C24" s="3" t="s">
        <v>30</v>
      </c>
      <c r="D24" s="3" t="s">
        <v>45</v>
      </c>
    </row>
    <row r="25" customFormat="false" ht="15" hidden="false" customHeight="true" outlineLevel="0" collapsed="false">
      <c r="A25" s="6" t="s">
        <v>46</v>
      </c>
      <c r="B25" s="10" t="n">
        <v>62</v>
      </c>
      <c r="C25" s="3" t="s">
        <v>30</v>
      </c>
      <c r="D25" s="3" t="s">
        <v>47</v>
      </c>
    </row>
    <row r="26" customFormat="false" ht="15" hidden="false" customHeight="true" outlineLevel="0" collapsed="false">
      <c r="A26" s="6" t="s">
        <v>48</v>
      </c>
      <c r="B26" s="10" t="n">
        <v>1.5</v>
      </c>
      <c r="C26" s="3" t="s">
        <v>30</v>
      </c>
      <c r="D26" s="3" t="s">
        <v>49</v>
      </c>
    </row>
    <row r="27" customFormat="false" ht="15" hidden="false" customHeight="true" outlineLevel="0" collapsed="false">
      <c r="A27" s="6" t="s">
        <v>50</v>
      </c>
      <c r="B27" s="10" t="n">
        <v>0.5</v>
      </c>
      <c r="C27" s="3" t="s">
        <v>30</v>
      </c>
      <c r="D27" s="3" t="s">
        <v>51</v>
      </c>
    </row>
    <row r="28" customFormat="false" ht="15" hidden="false" customHeight="true" outlineLevel="0" collapsed="false">
      <c r="A28" s="6" t="s">
        <v>52</v>
      </c>
      <c r="B28" s="10" t="n">
        <v>7</v>
      </c>
      <c r="C28" s="3" t="s">
        <v>30</v>
      </c>
      <c r="D28" s="3" t="s">
        <v>53</v>
      </c>
    </row>
    <row r="29" customFormat="false" ht="15" hidden="false" customHeight="true" outlineLevel="0" collapsed="false">
      <c r="A29" s="6" t="s">
        <v>54</v>
      </c>
      <c r="B29" s="10" t="n">
        <v>3.5</v>
      </c>
      <c r="C29" s="3" t="s">
        <v>30</v>
      </c>
      <c r="D29" s="3" t="s">
        <v>55</v>
      </c>
    </row>
    <row r="30" customFormat="false" ht="15" hidden="false" customHeight="true" outlineLevel="0" collapsed="false">
      <c r="A30" s="6" t="s">
        <v>56</v>
      </c>
      <c r="B30" s="10" t="n">
        <v>300</v>
      </c>
      <c r="C30" s="3" t="s">
        <v>30</v>
      </c>
      <c r="D30" s="3" t="s">
        <v>57</v>
      </c>
    </row>
    <row r="31" customFormat="false" ht="15" hidden="false" customHeight="true" outlineLevel="0" collapsed="false">
      <c r="A31" s="6" t="s">
        <v>58</v>
      </c>
      <c r="B31" s="10" t="n">
        <v>5</v>
      </c>
      <c r="C31" s="3" t="s">
        <v>30</v>
      </c>
      <c r="D31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4"/>
  </cols>
  <sheetData>
    <row r="1" customFormat="false" ht="15" hidden="false" customHeight="true" outlineLevel="0" collapsed="false">
      <c r="A1" s="2" t="s">
        <v>60</v>
      </c>
    </row>
    <row r="2" customFormat="false" ht="15" hidden="false" customHeight="true" outlineLevel="0" collapsed="false">
      <c r="A2" s="3" t="s">
        <v>61</v>
      </c>
    </row>
    <row r="4" customFormat="false" ht="15" hidden="false" customHeight="true" outlineLevel="0" collapsed="false">
      <c r="A4" s="11"/>
      <c r="B4" s="4" t="s">
        <v>62</v>
      </c>
      <c r="C4" s="4" t="s">
        <v>63</v>
      </c>
      <c r="D4" s="4" t="s">
        <v>64</v>
      </c>
    </row>
    <row r="5" customFormat="false" ht="15" hidden="false" customHeight="true" outlineLevel="0" collapsed="false">
      <c r="A5" s="6" t="s">
        <v>65</v>
      </c>
      <c r="B5" s="12" t="n">
        <f aca="false">Inputs!B12</f>
        <v>100</v>
      </c>
      <c r="C5" s="12" t="n">
        <f aca="false">Inputs!B13</f>
        <v>150</v>
      </c>
      <c r="D5" s="12" t="n">
        <f aca="false">Inputs!B14</f>
        <v>100</v>
      </c>
    </row>
    <row r="6" customFormat="false" ht="15" hidden="false" customHeight="true" outlineLevel="0" collapsed="false">
      <c r="A6" s="6" t="s">
        <v>66</v>
      </c>
      <c r="B6" s="13" t="n">
        <f aca="false">Inputs!B9</f>
        <v>0.26</v>
      </c>
      <c r="C6" s="13" t="n">
        <f aca="false">Inputs!B10</f>
        <v>0.33</v>
      </c>
      <c r="D6" s="13" t="n">
        <f aca="false">Inputs!B11</f>
        <v>0.87</v>
      </c>
    </row>
    <row r="7" customFormat="false" ht="15" hidden="false" customHeight="true" outlineLevel="0" collapsed="false">
      <c r="A7" s="6" t="s">
        <v>67</v>
      </c>
      <c r="B7" s="14" t="n">
        <f aca="false">B5*B6*Inputs!$B$6</f>
        <v>227760</v>
      </c>
      <c r="C7" s="14" t="n">
        <f aca="false">C5*C6*Inputs!$B$6</f>
        <v>433620</v>
      </c>
      <c r="D7" s="14" t="n">
        <f aca="false">D5*D6*Inputs!$B$6</f>
        <v>762120</v>
      </c>
    </row>
    <row r="8" customFormat="false" ht="15" hidden="false" customHeight="true" outlineLevel="0" collapsed="false">
      <c r="A8" s="6" t="s">
        <v>68</v>
      </c>
      <c r="B8" s="14" t="n">
        <f aca="false">Inputs!$B$7</f>
        <v>788400</v>
      </c>
      <c r="C8" s="14" t="n">
        <f aca="false">Inputs!$B$7</f>
        <v>788400</v>
      </c>
      <c r="D8" s="14" t="n">
        <f aca="false">Inputs!$B$7</f>
        <v>788400</v>
      </c>
    </row>
    <row r="9" customFormat="false" ht="15" hidden="false" customHeight="true" outlineLevel="0" collapsed="false">
      <c r="A9" s="11" t="s">
        <v>69</v>
      </c>
      <c r="B9" s="15" t="n">
        <f aca="false">MIN(1,B7/B8)</f>
        <v>0.288888888888889</v>
      </c>
      <c r="C9" s="15" t="n">
        <f aca="false">MIN(1,C7/C8)</f>
        <v>0.55</v>
      </c>
      <c r="D9" s="15" t="n">
        <f aca="false">MIN(1,D7/D8)</f>
        <v>0.966666666666667</v>
      </c>
    </row>
    <row r="10" customFormat="false" ht="15" hidden="false" customHeight="true" outlineLevel="0" collapsed="false">
      <c r="A10" s="11" t="s">
        <v>70</v>
      </c>
      <c r="B10" s="15" t="n">
        <f aca="false">1-B9</f>
        <v>0.711111111111111</v>
      </c>
      <c r="C10" s="15" t="n">
        <f aca="false">1-C9</f>
        <v>0.45</v>
      </c>
      <c r="D10" s="15" t="n">
        <f aca="false">1-D9</f>
        <v>0.0333333333333333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80"/>
  </cols>
  <sheetData>
    <row r="1" customFormat="false" ht="15" hidden="false" customHeight="true" outlineLevel="0" collapsed="false">
      <c r="A1" s="2" t="s">
        <v>71</v>
      </c>
    </row>
    <row r="3" customFormat="false" ht="15" hidden="false" customHeight="true" outlineLevel="0" collapsed="false">
      <c r="A3" s="11" t="s">
        <v>72</v>
      </c>
      <c r="B3" s="16" t="n">
        <f aca="false">Inputs!B20</f>
        <v>236.91</v>
      </c>
      <c r="C3" s="3" t="s">
        <v>73</v>
      </c>
    </row>
    <row r="4" customFormat="false" ht="15" hidden="false" customHeight="true" outlineLevel="0" collapsed="false">
      <c r="A4" s="6" t="s">
        <v>74</v>
      </c>
      <c r="B4" s="12" t="n">
        <f aca="false">Inputs!B21</f>
        <v>215.3</v>
      </c>
    </row>
    <row r="7" customFormat="false" ht="15" hidden="false" customHeight="true" outlineLevel="0" collapsed="false">
      <c r="A7" s="2" t="s">
        <v>75</v>
      </c>
    </row>
    <row r="8" customFormat="false" ht="15" hidden="false" customHeight="true" outlineLevel="0" collapsed="false">
      <c r="A8" s="3" t="s">
        <v>76</v>
      </c>
    </row>
    <row r="10" customFormat="false" ht="15" hidden="false" customHeight="true" outlineLevel="0" collapsed="false">
      <c r="A10" s="6" t="s">
        <v>77</v>
      </c>
      <c r="B10" s="12" t="n">
        <f aca="false">Inputs!B24</f>
        <v>70</v>
      </c>
      <c r="C10" s="3" t="s">
        <v>78</v>
      </c>
    </row>
    <row r="11" customFormat="false" ht="15" hidden="false" customHeight="true" outlineLevel="0" collapsed="false">
      <c r="A11" s="6" t="s">
        <v>79</v>
      </c>
      <c r="B11" s="12" t="n">
        <f aca="false">Inputs!B17</f>
        <v>15.5751</v>
      </c>
      <c r="C11" s="3" t="s">
        <v>80</v>
      </c>
    </row>
    <row r="12" customFormat="false" ht="15" hidden="false" customHeight="true" outlineLevel="0" collapsed="false">
      <c r="A12" s="6" t="s">
        <v>81</v>
      </c>
      <c r="B12" s="12" t="n">
        <f aca="false">Inputs!B22</f>
        <v>23</v>
      </c>
      <c r="C12" s="3" t="s">
        <v>82</v>
      </c>
    </row>
    <row r="13" customFormat="false" ht="15" hidden="false" customHeight="true" outlineLevel="0" collapsed="false">
      <c r="A13" s="6" t="s">
        <v>83</v>
      </c>
      <c r="B13" s="12" t="n">
        <f aca="false">Inputs!B4*1000*(1+Inputs!B19)*Inputs!B18*12/Inputs!B7</f>
        <v>45.2423135464231</v>
      </c>
      <c r="C13" s="3" t="s">
        <v>84</v>
      </c>
    </row>
    <row r="14" customFormat="false" ht="15" hidden="false" customHeight="true" outlineLevel="0" collapsed="false">
      <c r="A14" s="6" t="s">
        <v>85</v>
      </c>
      <c r="B14" s="12" t="n">
        <f aca="false">Inputs!B26</f>
        <v>1.5</v>
      </c>
      <c r="C14" s="3" t="s">
        <v>86</v>
      </c>
    </row>
    <row r="15" customFormat="false" ht="15" hidden="false" customHeight="true" outlineLevel="0" collapsed="false">
      <c r="A15" s="6" t="s">
        <v>87</v>
      </c>
      <c r="B15" s="12" t="n">
        <f aca="false">Inputs!B27</f>
        <v>0.5</v>
      </c>
      <c r="C15" s="3" t="s">
        <v>86</v>
      </c>
    </row>
    <row r="16" customFormat="false" ht="15" hidden="false" customHeight="true" outlineLevel="0" collapsed="false">
      <c r="A16" s="6" t="s">
        <v>88</v>
      </c>
      <c r="B16" s="12" t="n">
        <f aca="false">Inputs!B28</f>
        <v>7</v>
      </c>
      <c r="C16" s="3" t="s">
        <v>86</v>
      </c>
    </row>
    <row r="17" customFormat="false" ht="15" hidden="false" customHeight="true" outlineLevel="0" collapsed="false">
      <c r="A17" s="11" t="s">
        <v>89</v>
      </c>
      <c r="B17" s="17" t="n">
        <f aca="false">SUM(B10:B16)</f>
        <v>162.817413546423</v>
      </c>
    </row>
    <row r="19" customFormat="false" ht="15" hidden="false" customHeight="true" outlineLevel="0" collapsed="false">
      <c r="A19" s="18" t="s">
        <v>90</v>
      </c>
    </row>
    <row r="20" customFormat="false" ht="15" hidden="false" customHeight="true" outlineLevel="0" collapsed="false">
      <c r="A20" s="3" t="s">
        <v>91</v>
      </c>
    </row>
    <row r="22" customFormat="false" ht="15" hidden="false" customHeight="true" outlineLevel="0" collapsed="false">
      <c r="A22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4"/>
    <col collapsed="false" customWidth="true" hidden="false" outlineLevel="0" max="5" min="5" style="1" width="70"/>
  </cols>
  <sheetData>
    <row r="1" customFormat="false" ht="15" hidden="false" customHeight="true" outlineLevel="0" collapsed="false">
      <c r="A1" s="2" t="s">
        <v>93</v>
      </c>
    </row>
    <row r="2" customFormat="false" ht="15" hidden="false" customHeight="true" outlineLevel="0" collapsed="false">
      <c r="A2" s="3" t="s">
        <v>94</v>
      </c>
    </row>
    <row r="4" customFormat="false" ht="15" hidden="false" customHeight="true" outlineLevel="0" collapsed="false">
      <c r="B4" s="4" t="s">
        <v>62</v>
      </c>
      <c r="C4" s="4" t="s">
        <v>63</v>
      </c>
      <c r="D4" s="4" t="s">
        <v>64</v>
      </c>
    </row>
    <row r="5" customFormat="false" ht="15" hidden="false" customHeight="true" outlineLevel="0" collapsed="false">
      <c r="A5" s="6" t="s">
        <v>95</v>
      </c>
      <c r="B5" s="13" t="n">
        <f aca="false">Coverage!B9</f>
        <v>0.288888888888889</v>
      </c>
      <c r="C5" s="13" t="n">
        <f aca="false">Coverage!C9</f>
        <v>0.55</v>
      </c>
      <c r="D5" s="13" t="n">
        <f aca="false">Coverage!D9</f>
        <v>0.966666666666667</v>
      </c>
    </row>
    <row r="7" customFormat="false" ht="15" hidden="false" customHeight="true" outlineLevel="0" collapsed="false">
      <c r="A7" s="4" t="s">
        <v>96</v>
      </c>
      <c r="B7" s="5"/>
      <c r="C7" s="5"/>
      <c r="D7" s="5"/>
    </row>
    <row r="8" customFormat="false" ht="15" hidden="false" customHeight="true" outlineLevel="0" collapsed="false">
      <c r="A8" s="6" t="s">
        <v>97</v>
      </c>
      <c r="B8" s="12" t="n">
        <f aca="false">B5*Inputs!$B$25</f>
        <v>17.9111111111111</v>
      </c>
      <c r="C8" s="12" t="n">
        <f aca="false">C5*Inputs!$B$25</f>
        <v>34.1</v>
      </c>
      <c r="D8" s="12" t="n">
        <f aca="false">D5*Inputs!$B$25</f>
        <v>59.9333333333333</v>
      </c>
    </row>
    <row r="9" customFormat="false" ht="15" hidden="false" customHeight="true" outlineLevel="0" collapsed="false">
      <c r="A9" s="6" t="s">
        <v>98</v>
      </c>
      <c r="B9" s="12" t="n">
        <f aca="false">(1-B5)*Inputs!$B$30</f>
        <v>213.333333333333</v>
      </c>
      <c r="C9" s="12" t="n">
        <f aca="false">(1-C5)*Inputs!$B$30</f>
        <v>135</v>
      </c>
      <c r="D9" s="12" t="n">
        <f aca="false">(1-D5)*Inputs!$B$30</f>
        <v>10</v>
      </c>
    </row>
    <row r="10" customFormat="false" ht="15" hidden="false" customHeight="true" outlineLevel="0" collapsed="false">
      <c r="A10" s="6" t="s">
        <v>99</v>
      </c>
      <c r="B10" s="12" t="n">
        <f aca="false">Inputs!$B$29</f>
        <v>3.5</v>
      </c>
      <c r="C10" s="12" t="n">
        <f aca="false">Inputs!$B$29</f>
        <v>3.5</v>
      </c>
      <c r="D10" s="12" t="n">
        <f aca="false">Inputs!$B$29</f>
        <v>3.5</v>
      </c>
    </row>
    <row r="11" customFormat="false" ht="15" hidden="false" customHeight="true" outlineLevel="0" collapsed="false">
      <c r="A11" s="11" t="s">
        <v>100</v>
      </c>
      <c r="B11" s="16" t="n">
        <f aca="false">SUM(B8:B10)</f>
        <v>234.744444444444</v>
      </c>
      <c r="C11" s="16" t="n">
        <f aca="false">SUM(C8:C10)</f>
        <v>172.6</v>
      </c>
      <c r="D11" s="16" t="n">
        <f aca="false">SUM(D8:D10)</f>
        <v>73.4333333333333</v>
      </c>
    </row>
    <row r="13" customFormat="false" ht="15" hidden="false" customHeight="true" outlineLevel="0" collapsed="false">
      <c r="A13" s="4" t="s">
        <v>101</v>
      </c>
      <c r="B13" s="5"/>
      <c r="C13" s="5"/>
      <c r="D13" s="5"/>
    </row>
    <row r="14" customFormat="false" ht="15" hidden="false" customHeight="true" outlineLevel="0" collapsed="false">
      <c r="A14" s="6" t="s">
        <v>97</v>
      </c>
      <c r="B14" s="12" t="n">
        <f aca="false">B5*Inputs!$B$25</f>
        <v>17.9111111111111</v>
      </c>
      <c r="C14" s="12" t="n">
        <f aca="false">C5*Inputs!$B$25</f>
        <v>34.1</v>
      </c>
      <c r="D14" s="12" t="n">
        <f aca="false">D5*Inputs!$B$25</f>
        <v>59.9333333333333</v>
      </c>
    </row>
    <row r="15" customFormat="false" ht="15" hidden="false" customHeight="true" outlineLevel="0" collapsed="false">
      <c r="A15" s="6" t="s">
        <v>102</v>
      </c>
      <c r="B15" s="12" t="n">
        <f aca="false">(1-B5)*(Inputs!$B$24+Inputs!$B$17+Inputs!$B$22)</f>
        <v>77.20896</v>
      </c>
      <c r="C15" s="12" t="n">
        <f aca="false">(1-C5)*(Inputs!$B$24+Inputs!$B$17+Inputs!$B$22)</f>
        <v>48.858795</v>
      </c>
      <c r="D15" s="12" t="n">
        <f aca="false">(1-D5)*(Inputs!$B$24+Inputs!$B$17+Inputs!$B$22)</f>
        <v>3.61917</v>
      </c>
    </row>
    <row r="16" customFormat="false" ht="15" hidden="false" customHeight="true" outlineLevel="0" collapsed="false">
      <c r="A16" s="6" t="s">
        <v>103</v>
      </c>
      <c r="B16" s="12" t="n">
        <f aca="false">Inputs!$B$31</f>
        <v>5</v>
      </c>
      <c r="C16" s="12" t="n">
        <f aca="false">Inputs!$B$31</f>
        <v>5</v>
      </c>
      <c r="D16" s="12" t="n">
        <f aca="false">Inputs!$B$31</f>
        <v>5</v>
      </c>
    </row>
    <row r="17" customFormat="false" ht="15" hidden="false" customHeight="true" outlineLevel="0" collapsed="false">
      <c r="A17" s="6" t="s">
        <v>99</v>
      </c>
      <c r="B17" s="12" t="n">
        <f aca="false">Inputs!$B$29</f>
        <v>3.5</v>
      </c>
      <c r="C17" s="12" t="n">
        <f aca="false">Inputs!$B$29</f>
        <v>3.5</v>
      </c>
      <c r="D17" s="12" t="n">
        <f aca="false">Inputs!$B$29</f>
        <v>3.5</v>
      </c>
    </row>
    <row r="18" customFormat="false" ht="15" hidden="false" customHeight="true" outlineLevel="0" collapsed="false">
      <c r="A18" s="11" t="s">
        <v>104</v>
      </c>
      <c r="B18" s="16" t="n">
        <f aca="false">SUM(B14:B17)</f>
        <v>103.620071111111</v>
      </c>
      <c r="C18" s="16" t="n">
        <f aca="false">SUM(C14:C17)</f>
        <v>91.458795</v>
      </c>
      <c r="D18" s="16" t="n">
        <f aca="false">SUM(D14:D17)</f>
        <v>72.0525033333333</v>
      </c>
    </row>
    <row r="20" customFormat="false" ht="15" hidden="false" customHeight="true" outlineLevel="0" collapsed="false">
      <c r="A20" s="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14"/>
  </cols>
  <sheetData>
    <row r="1" customFormat="false" ht="15" hidden="false" customHeight="true" outlineLevel="0" collapsed="false">
      <c r="A1" s="2" t="s">
        <v>106</v>
      </c>
    </row>
    <row r="3" customFormat="false" ht="15" hidden="false" customHeight="true" outlineLevel="0" collapsed="false">
      <c r="B3" s="4" t="s">
        <v>62</v>
      </c>
      <c r="C3" s="4" t="s">
        <v>63</v>
      </c>
      <c r="D3" s="4" t="s">
        <v>64</v>
      </c>
    </row>
    <row r="4" customFormat="false" ht="15" hidden="false" customHeight="true" outlineLevel="0" collapsed="false">
      <c r="A4" s="6" t="s">
        <v>107</v>
      </c>
      <c r="B4" s="12" t="n">
        <f aca="false">StructA_B!$B$3</f>
        <v>236.91</v>
      </c>
      <c r="C4" s="12" t="n">
        <f aca="false">StructA_B!$B$3</f>
        <v>236.91</v>
      </c>
      <c r="D4" s="12" t="n">
        <f aca="false">StructA_B!$B$3</f>
        <v>236.91</v>
      </c>
    </row>
    <row r="5" customFormat="false" ht="15" hidden="false" customHeight="true" outlineLevel="0" collapsed="false">
      <c r="A5" s="6" t="s">
        <v>108</v>
      </c>
      <c r="B5" s="12" t="n">
        <f aca="false">StructA_B!$B$17</f>
        <v>162.817413546423</v>
      </c>
      <c r="C5" s="12" t="n">
        <f aca="false">StructA_B!$B$17</f>
        <v>162.817413546423</v>
      </c>
      <c r="D5" s="12" t="n">
        <f aca="false">StructA_B!$B$17</f>
        <v>162.817413546423</v>
      </c>
    </row>
    <row r="6" customFormat="false" ht="15" hidden="false" customHeight="true" outlineLevel="0" collapsed="false">
      <c r="A6" s="6" t="s">
        <v>109</v>
      </c>
      <c r="B6" s="12" t="n">
        <f aca="false">StructC!B11</f>
        <v>234.744444444444</v>
      </c>
      <c r="C6" s="12" t="n">
        <f aca="false">StructC!C11</f>
        <v>172.6</v>
      </c>
      <c r="D6" s="12" t="n">
        <f aca="false">StructC!D11</f>
        <v>73.4333333333333</v>
      </c>
    </row>
    <row r="7" customFormat="false" ht="15" hidden="false" customHeight="true" outlineLevel="0" collapsed="false">
      <c r="A7" s="6" t="s">
        <v>110</v>
      </c>
      <c r="B7" s="12" t="n">
        <f aca="false">StructC!B18</f>
        <v>103.620071111111</v>
      </c>
      <c r="C7" s="12" t="n">
        <f aca="false">StructC!C18</f>
        <v>91.458795</v>
      </c>
      <c r="D7" s="12" t="n">
        <f aca="false">StructC!D18</f>
        <v>72.0525033333333</v>
      </c>
    </row>
    <row r="9" customFormat="false" ht="15" hidden="false" customHeight="true" outlineLevel="0" collapsed="false">
      <c r="A9" s="4" t="s">
        <v>111</v>
      </c>
      <c r="B9" s="5"/>
      <c r="C9" s="5"/>
      <c r="D9" s="5"/>
    </row>
    <row r="10" customFormat="false" ht="15" hidden="false" customHeight="true" outlineLevel="0" collapsed="false">
      <c r="A10" s="6" t="s">
        <v>112</v>
      </c>
      <c r="B10" s="13" t="n">
        <f aca="false">(B5-B6)/B5</f>
        <v>-0.441764976677468</v>
      </c>
      <c r="C10" s="13" t="n">
        <f aca="false">(C5-C6)/C5</f>
        <v>-0.0600831707155674</v>
      </c>
      <c r="D10" s="13" t="n">
        <f aca="false">(D5-D6)/D5</f>
        <v>0.548983540925764</v>
      </c>
    </row>
    <row r="11" customFormat="false" ht="15" hidden="false" customHeight="true" outlineLevel="0" collapsed="false">
      <c r="A11" s="6" t="s">
        <v>113</v>
      </c>
      <c r="B11" s="13" t="n">
        <f aca="false">(B5-B7)/B5</f>
        <v>0.363581149865358</v>
      </c>
      <c r="C11" s="13" t="n">
        <f aca="false">(C5-C7)/C5</f>
        <v>0.438273873734501</v>
      </c>
      <c r="D11" s="13" t="n">
        <f aca="false">(D5-D7)/D5</f>
        <v>0.557464390546964</v>
      </c>
    </row>
    <row r="12" customFormat="false" ht="15" hidden="false" customHeight="true" outlineLevel="0" collapsed="false">
      <c r="A12" s="6" t="s">
        <v>114</v>
      </c>
      <c r="B12" s="13" t="n">
        <f aca="false">(Inputs!$B$24-B6)/Inputs!$B$24</f>
        <v>-2.35349206349206</v>
      </c>
      <c r="C12" s="13" t="n">
        <f aca="false">(Inputs!$B$24-C6)/Inputs!$B$24</f>
        <v>-1.46571428571429</v>
      </c>
      <c r="D12" s="13" t="n">
        <f aca="false">(Inputs!$B$24-D6)/Inputs!$B$24</f>
        <v>-0.0490476190476191</v>
      </c>
    </row>
    <row r="13" customFormat="false" ht="15" hidden="false" customHeight="true" outlineLevel="0" collapsed="false">
      <c r="A13" s="6" t="s">
        <v>115</v>
      </c>
      <c r="B13" s="13" t="n">
        <f aca="false">(Inputs!$B$24-B7)/Inputs!$B$24</f>
        <v>-0.48028673015873</v>
      </c>
      <c r="C13" s="13" t="n">
        <f aca="false">(Inputs!$B$24-C7)/Inputs!$B$24</f>
        <v>-0.306554214285714</v>
      </c>
      <c r="D13" s="13" t="n">
        <f aca="false">(Inputs!$B$24-D7)/Inputs!$B$24</f>
        <v>-0.0293214761904762</v>
      </c>
    </row>
    <row r="14" customFormat="false" ht="15" hidden="false" customHeight="true" outlineLevel="0" collapsed="false">
      <c r="A14" s="6" t="s">
        <v>116</v>
      </c>
      <c r="B14" s="1" t="str">
        <f aca="false">IF(B10&gt;=0.2,"YES","NO")</f>
        <v>NO</v>
      </c>
      <c r="C14" s="1" t="str">
        <f aca="false">IF(C10&gt;=0.2,"YES","NO")</f>
        <v>NO</v>
      </c>
      <c r="D14" s="1" t="str">
        <f aca="false">IF(D10&gt;=0.2,"YES","NO")</f>
        <v>YES</v>
      </c>
    </row>
    <row r="16" customFormat="false" ht="15" hidden="false" customHeight="true" outlineLevel="0" collapsed="false">
      <c r="A16" s="11" t="s">
        <v>117</v>
      </c>
    </row>
    <row r="17" customFormat="false" ht="15" hidden="false" customHeight="true" outlineLevel="0" collapsed="false">
      <c r="A17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2026-08-07T15:56:34Z</dcterms:created>
  <dc:creator>openpyxl</dc:creator>
  <dc:description/>
  <dc:language>en-US</dc:language>
  <cp:lastModifiedBy/>
  <dcterms:modified xsi:type="dcterms:W3CDTF">2026-08-07T15:56:55Z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