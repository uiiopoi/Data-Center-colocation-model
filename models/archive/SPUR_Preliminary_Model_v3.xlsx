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pitalization" sheetId="2" state="visible" r:id="rId4"/>
    <sheet name="Configurations" sheetId="3" state="visible" r:id="rId5"/>
    <sheet name="Baseline" sheetId="4" state="visible" r:id="rId6"/>
    <sheet name="Co-location" sheetId="5" state="visible" r:id="rId7"/>
    <sheet name="Resul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<sst xmlns="http://schemas.openxmlformats.org/spreadsheetml/2006/main" count="165" uniqueCount="132">
  <si>
    <t xml:space="preserve">SPUR Co-location Model — Preliminary Illustrative Run (2 configurations)</t>
  </si>
  <si>
    <t xml:space="preserve">Blue = hardcoded inputs. Green = pulled from Configurations tab. Yellow = scenario levers. $ in millions.</t>
  </si>
  <si>
    <t xml:space="preserve">SCENARIO LEVERS</t>
  </si>
  <si>
    <t xml:space="preserve">Configuration (1=Solar+BESS 100MW, 2=Wind+BESS 150MW)</t>
  </si>
  <si>
    <t xml:space="preserve">Switches all green config parameters below</t>
  </si>
  <si>
    <t xml:space="preserve">Queue wait (mech. completion -&gt; COD), years</t>
  </si>
  <si>
    <t xml:space="preserve">Test 2/4/6/8 (LBNL Queued Up 2025: https://emp.lbl.gov/queues)</t>
  </si>
  <si>
    <t xml:space="preserve">ITC rate</t>
  </si>
  <si>
    <t xml:space="preserve">0% = OBBBA Scenario D (zero credit under EITHER credit type); 30% = full rate w/ PWA</t>
  </si>
  <si>
    <t xml:space="preserve">Credit type (1=ITC, 2=PTC)</t>
  </si>
  <si>
    <t xml:space="preserve">Framework 2.3.5: run both per configuration; PTC path uses full depreciable basis (no ITC basis reduction)</t>
  </si>
  <si>
    <t xml:space="preserve">PTC rate ($/MWh, full rate w/ PWA)</t>
  </si>
  <si>
    <t xml:space="preserve">$0.015/kWh, 10-yr duration (Framework 2.3.4; inflation adjustment omitted)</t>
  </si>
  <si>
    <t xml:space="preserve">CONFIGURATION PARAMETERS (from Configurations tab)</t>
  </si>
  <si>
    <t xml:space="preserve">Capacity (MW)</t>
  </si>
  <si>
    <t xml:space="preserve">Capacity factor</t>
  </si>
  <si>
    <t xml:space="preserve">Annual degradation</t>
  </si>
  <si>
    <t xml:space="preserve">Availability</t>
  </si>
  <si>
    <t xml:space="preserve">Electrical losses</t>
  </si>
  <si>
    <t xml:space="preserve">Total CAPEX ($mm)</t>
  </si>
  <si>
    <t xml:space="preserve">Qualified investment ($mm)</t>
  </si>
  <si>
    <t xml:space="preserve">Microgrid CAPEX ($mm)</t>
  </si>
  <si>
    <t xml:space="preserve">Fixed O&amp;M, gen + BESS ($mm/yr)</t>
  </si>
  <si>
    <t xml:space="preserve">Land lease + insurance ($mm/yr)</t>
  </si>
  <si>
    <t xml:space="preserve">Microgrid O&amp;M ($mm/yr)</t>
  </si>
  <si>
    <t xml:space="preserve">SHARED PARAMETERS</t>
  </si>
  <si>
    <t xml:space="preserve">BESS delivery loss (RTE approx.)</t>
  </si>
  <si>
    <t xml:space="preserve">Annual approximation of round-trip losses</t>
  </si>
  <si>
    <t xml:space="preserve">Debt interest rate</t>
  </si>
  <si>
    <t xml:space="preserve">Framework 2.3.1: 5-7% range</t>
  </si>
  <si>
    <t xml:space="preserve">Debt tenor (years)</t>
  </si>
  <si>
    <t xml:space="preserve">Framework 2.3.1</t>
  </si>
  <si>
    <t xml:space="preserve">Target DSCR (debt sizing)</t>
  </si>
  <si>
    <t xml:space="preserve">Framework 2.7</t>
  </si>
  <si>
    <t xml:space="preserve">Max leverage (% of total capital)</t>
  </si>
  <si>
    <t xml:space="preserve">Framework 2.3.1: senior debt 50-55% of CAPEX; binds when DSCR-sized debt exceeds it (wind)</t>
  </si>
  <si>
    <t xml:space="preserve">Combined tax rate (fed + CA)</t>
  </si>
  <si>
    <t xml:space="preserve">21% federal + 8.84% CA</t>
  </si>
  <si>
    <t xml:space="preserve">Tax equity pay rate (per $ benefit PV)</t>
  </si>
  <si>
    <t xml:space="preserve">TE pays ~80c per $1 PV of ITC + MACRS shield</t>
  </si>
  <si>
    <t xml:space="preserve">MACRS PV discount rate</t>
  </si>
  <si>
    <t xml:space="preserve">Assumption</t>
  </si>
  <si>
    <t xml:space="preserve">Grid hybrid PPA price ($/MWh)</t>
  </si>
  <si>
    <t xml:space="preserve">LBNL Utility-Scale Solar (hybrid PPA levels): https://emp.lbl.gov/utility-scale-solar</t>
  </si>
  <si>
    <t xml:space="preserve">BTM PPA price ($/MWh)</t>
  </si>
  <si>
    <t xml:space="preserve">~17% discount, within 10-20% industry range (Framework 4.3)</t>
  </si>
  <si>
    <t xml:space="preserve">Asset management (% of revenue)</t>
  </si>
  <si>
    <t xml:space="preserve">Framework 2.6</t>
  </si>
  <si>
    <t xml:space="preserve">Construction years</t>
  </si>
  <si>
    <t xml:space="preserve">Framework 2.1</t>
  </si>
  <si>
    <t xml:space="preserve">Operating life (years)</t>
  </si>
  <si>
    <t xml:space="preserve">Flip year (calendar)</t>
  </si>
  <si>
    <t xml:space="preserve">Framework 2.8.2</t>
  </si>
  <si>
    <t xml:space="preserve">Buyout at flip ($mm)</t>
  </si>
  <si>
    <t xml:space="preserve">Nominal</t>
  </si>
  <si>
    <t xml:space="preserve">Developer cash share, pre-flip</t>
  </si>
  <si>
    <t xml:space="preserve">Developer cash share, post-flip</t>
  </si>
  <si>
    <t xml:space="preserve">Capitalization — debt = MIN(DSCR-sized, max leverage x capital); tax equity sized to ITC + MACRS shield</t>
  </si>
  <si>
    <t xml:space="preserve">Baseline</t>
  </si>
  <si>
    <t xml:space="preserve">Co-location</t>
  </si>
  <si>
    <t xml:space="preserve">Total capital required ($mm)</t>
  </si>
  <si>
    <t xml:space="preserve">First grid-year net energy (MWh)</t>
  </si>
  <si>
    <t xml:space="preserve">First grid-year revenue ($mm)</t>
  </si>
  <si>
    <t xml:space="preserve">First grid-year OPEX ($mm)</t>
  </si>
  <si>
    <t xml:space="preserve">First grid-year EBITDA ($mm)</t>
  </si>
  <si>
    <t xml:space="preserve">Max debt service @ DSCR ($mm/yr)</t>
  </si>
  <si>
    <t xml:space="preserve">DSCR-sized debt ($mm)</t>
  </si>
  <si>
    <t xml:space="preserve">Senior debt after leverage cap ($mm)</t>
  </si>
  <si>
    <t xml:space="preserve">Actual debt service ($mm/yr)</t>
  </si>
  <si>
    <t xml:space="preserve">ITC amount ($mm)</t>
  </si>
  <si>
    <t xml:space="preserve">PTC start year (calendar)</t>
  </si>
  <si>
    <t xml:space="preserve">PTC stream PV ($mm)</t>
  </si>
  <si>
    <t xml:space="preserve">Depreciable basis ($mm)</t>
  </si>
  <si>
    <t xml:space="preserve">MACRS shield PV ($mm)</t>
  </si>
  <si>
    <t xml:space="preserve">Tax equity contribution ($mm)</t>
  </si>
  <si>
    <t xml:space="preserve">Developer equity ($mm)</t>
  </si>
  <si>
    <t xml:space="preserve">PTC start assumption: baseline facility is not placed in service while idle (PTC begins at COD); co-location BTM operation</t>
  </si>
  <si>
    <t xml:space="preserve">is assumed to qualify as placed in service (PTC begins at mechanical completion). Open tax question — validate in practitioner interviews.</t>
  </si>
  <si>
    <t xml:space="preserve">MACRS 5-yr schedule (Framework 2.3.3)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</si>
  <si>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</si>
  <si>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</si>
  <si>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</si>
  <si>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</si>
  <si>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</si>
  <si>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</si>
  <si>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Configuration library — values feed Inputs via the selector</t>
  </si>
  <si>
    <t xml:space="preserve">Parameter</t>
  </si>
  <si>
    <t xml:space="preserve">1: Solar+BESS 100MW</t>
  </si>
  <si>
    <t xml:space="preserve">2: Wind+BESS 150MW</t>
  </si>
  <si>
    <t xml:space="preserve">Source / note</t>
  </si>
  <si>
    <t xml:space="preserve">Solar: Framework 2.2.1. Wind: 150 MW scale variant (user-specified)</t>
  </si>
  <si>
    <t xml:space="preserve">Solar: CA midpoint. Wind: upper end of Tehachapi 30-35% range (Framework 2.2.1; NREL ATB 2024: https://atb.nrel.gov/electricity/2024/technologies)</t>
  </si>
  <si>
    <t xml:space="preserve">Framework 2.5.2</t>
  </si>
  <si>
    <t xml:space="preserve">Framework 2.5.2 (wind 95-97% midpoint)</t>
  </si>
  <si>
    <t xml:space="preserve">Solar: Framework 2.2.3. Wind: $1,350/kW x150MW + BESS 75MW/300MWh @$1,250/kW + dev 4% + land $2 + intercon $100/kW (NREL ATB 2024 midpoints, framework 0.5x BESS ratio)</t>
  </si>
  <si>
    <t xml:space="preserve">Generation + BESS only (Framework 2.2.4)</t>
  </si>
  <si>
    <t xml:space="preserve">$120/kW midpoint of $50-150/kW range x capacity</t>
  </si>
  <si>
    <t xml:space="preserve">Solar $17.5/kW + BESS $25/kW; Wind $30/kW x150 + BESS $25/kW x75 (Framework 2.6)</t>
  </si>
  <si>
    <t xml:space="preserve">$0.3mm land + 0.4% of CAPEX insurance</t>
  </si>
  <si>
    <t xml:space="preserve">$7.5/kW-yr x capacity</t>
  </si>
  <si>
    <t xml:space="preserve">Caveat: wind at 35% CF likely favors PTC over ITC (Framework 2.3.5); this quick model runs ITC only — flag in discussion.</t>
  </si>
  <si>
    <t xml:space="preserve">Baseline — annual cash flow waterfall ($mm)</t>
  </si>
  <si>
    <t xml:space="preserve">Developer levered IRR:</t>
  </si>
  <si>
    <t xml:space="preserve">Year</t>
  </si>
  <si>
    <t xml:space="preserve">Phase</t>
  </si>
  <si>
    <t xml:space="preserve">Op yr</t>
  </si>
  <si>
    <t xml:space="preserve">Net energy (MWh)</t>
  </si>
  <si>
    <t xml:space="preserve">Revenue</t>
  </si>
  <si>
    <t xml:space="preserve">OPEX</t>
  </si>
  <si>
    <t xml:space="preserve">EBITDA</t>
  </si>
  <si>
    <t xml:space="preserve">Debt service</t>
  </si>
  <si>
    <t xml:space="preserve">Distributable cash</t>
  </si>
  <si>
    <t xml:space="preserve">Dev share</t>
  </si>
  <si>
    <t xml:space="preserve">Dev cash flow</t>
  </si>
  <si>
    <t xml:space="preserve">Co-location — annual cash flow waterfall ($mm)</t>
  </si>
  <si>
    <t xml:space="preserve">Results</t>
  </si>
  <si>
    <t xml:space="preserve">Live scenario (change yellow cells on Inputs tab):</t>
  </si>
  <si>
    <t xml:space="preserve">Configuration</t>
  </si>
  <si>
    <t xml:space="preserve">Queue wait (yrs)</t>
  </si>
  <si>
    <t xml:space="preserve">Credit type</t>
  </si>
  <si>
    <t xml:space="preserve">Baseline developer levered IRR</t>
  </si>
  <si>
    <t xml:space="preserve">Co-location developer levered IRR</t>
  </si>
  <si>
    <t xml:space="preserve">Delta IRR (co-location - baseline), pp</t>
  </si>
  <si>
    <t xml:space="preserve">Scenario sweep — Solar+BESS 100MW (same model re-run per combination; reproduce via Inputs)</t>
  </si>
  <si>
    <t xml:space="preserve">ITC</t>
  </si>
  <si>
    <t xml:space="preserve">Queue (yrs)</t>
  </si>
  <si>
    <t xml:space="preserve">Baseline IRR</t>
  </si>
  <si>
    <t xml:space="preserve">Co-location IRR</t>
  </si>
  <si>
    <t xml:space="preserve">Delta (pp)</t>
  </si>
  <si>
    <t xml:space="preserve">Scenario sweep — Wind+BESS 150MW (same model re-run per combination; reproduce via Inputs)</t>
  </si>
  <si>
    <t xml:space="preserve">Takeaways: breakeven Q* ~3.5 yrs (solar) vs ~2.2 yrs (wind, 30% ITC); higher CF monetizes more energy per queue year, so wind reaches</t>
  </si>
  <si>
    <t xml:space="preserve">the H1 3-6pp band (+5.6pp at 8 yrs). Wind quick-run uses ITC only; PTC likely optimal at 35% CF (Framework 2.3.5) — a to-do, not a result.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</si>
</sst>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.00"/>
    <numFmt numFmtId="168" formatCode="\$#,##0.00;&quot;($&quot;#,##0.00\);\-"/>
    <numFmt numFmtId="169" formatCode="0.00\x"/>
    <numFmt numFmtId="170" formatCode="0.00%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3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4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n">
        <v>0.3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1</v>
      </c>
      <c r="C8" s="6" t="s">
        <v>10</v>
      </c>
    </row>
    <row r="9" customFormat="false" ht="15" hidden="false" customHeight="false" outlineLevel="0" collapsed="false">
      <c r="A9" s="4" t="s">
        <v>11</v>
      </c>
      <c r="B9" s="8" t="n">
        <v>15</v>
      </c>
      <c r="C9" s="6" t="s">
        <v>12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4" t="s">
        <v>14</v>
      </c>
      <c r="B11" s="9" t="n">
        <f aca="false">INDEX(Configurations!$B$4:$C$4,1,$B$5)</f>
        <v>100</v>
      </c>
      <c r="C11" s="6"/>
    </row>
    <row r="12" customFormat="false" ht="15" hidden="false" customHeight="false" outlineLevel="0" collapsed="false">
      <c r="A12" s="4" t="s">
        <v>15</v>
      </c>
      <c r="B12" s="10" t="n">
        <f aca="false">INDEX(Configurations!$B$5:$C$5,1,$B$5)</f>
        <v>0.275</v>
      </c>
      <c r="C12" s="6"/>
    </row>
    <row r="13" customFormat="false" ht="15" hidden="false" customHeight="false" outlineLevel="0" collapsed="false">
      <c r="A13" s="4" t="s">
        <v>16</v>
      </c>
      <c r="B13" s="10" t="n">
        <f aca="false">INDEX(Configurations!$B$6:$C$6,1,$B$5)</f>
        <v>0.005</v>
      </c>
      <c r="C13" s="6"/>
    </row>
    <row r="14" customFormat="false" ht="15" hidden="false" customHeight="false" outlineLevel="0" collapsed="false">
      <c r="A14" s="4" t="s">
        <v>17</v>
      </c>
      <c r="B14" s="10" t="n">
        <f aca="false">INDEX(Configurations!$B$7:$C$7,1,$B$5)</f>
        <v>0.98</v>
      </c>
      <c r="C14" s="6"/>
    </row>
    <row r="15" customFormat="false" ht="15" hidden="false" customHeight="false" outlineLevel="0" collapsed="false">
      <c r="A15" s="4" t="s">
        <v>18</v>
      </c>
      <c r="B15" s="10" t="n">
        <f aca="false">INDEX(Configurations!$B$8:$C$8,1,$B$5)</f>
        <v>0.025</v>
      </c>
      <c r="C15" s="6"/>
    </row>
    <row r="16" customFormat="false" ht="15" hidden="false" customHeight="false" outlineLevel="0" collapsed="false">
      <c r="A16" s="4" t="s">
        <v>19</v>
      </c>
      <c r="B16" s="11" t="n">
        <f aca="false">INDEX(Configurations!$B$9:$C$9,1,$B$5)</f>
        <v>197</v>
      </c>
      <c r="C16" s="6"/>
    </row>
    <row r="17" customFormat="false" ht="15" hidden="false" customHeight="false" outlineLevel="0" collapsed="false">
      <c r="A17" s="4" t="s">
        <v>20</v>
      </c>
      <c r="B17" s="11" t="n">
        <f aca="false">INDEX(Configurations!$B$10:$C$10,1,$B$5)</f>
        <v>180</v>
      </c>
      <c r="C17" s="6"/>
    </row>
    <row r="18" customFormat="false" ht="15" hidden="false" customHeight="false" outlineLevel="0" collapsed="false">
      <c r="A18" s="4" t="s">
        <v>21</v>
      </c>
      <c r="B18" s="11" t="n">
        <f aca="false">INDEX(Configurations!$B$11:$C$11,1,$B$5)</f>
        <v>12</v>
      </c>
      <c r="C18" s="6"/>
    </row>
    <row r="19" customFormat="false" ht="15" hidden="false" customHeight="false" outlineLevel="0" collapsed="false">
      <c r="A19" s="4" t="s">
        <v>22</v>
      </c>
      <c r="B19" s="11" t="n">
        <f aca="false">INDEX(Configurations!$B$12:$C$12,1,$B$5)</f>
        <v>3</v>
      </c>
      <c r="C19" s="6"/>
    </row>
    <row r="20" customFormat="false" ht="15" hidden="false" customHeight="false" outlineLevel="0" collapsed="false">
      <c r="A20" s="4" t="s">
        <v>23</v>
      </c>
      <c r="B20" s="11" t="n">
        <f aca="false">INDEX(Configurations!$B$13:$C$13,1,$B$5)</f>
        <v>1.088</v>
      </c>
      <c r="C20" s="6"/>
    </row>
    <row r="21" customFormat="false" ht="15" hidden="false" customHeight="false" outlineLevel="0" collapsed="false">
      <c r="A21" s="4" t="s">
        <v>24</v>
      </c>
      <c r="B21" s="11" t="n">
        <f aca="false">INDEX(Configurations!$B$14:$C$14,1,$B$5)</f>
        <v>0.75</v>
      </c>
      <c r="C21" s="6"/>
    </row>
    <row r="22" customFormat="false" ht="15" hidden="false" customHeight="false" outlineLevel="0" collapsed="false">
      <c r="A22" s="3" t="s">
        <v>25</v>
      </c>
    </row>
    <row r="23" customFormat="false" ht="15" hidden="false" customHeight="false" outlineLevel="0" collapsed="false">
      <c r="A23" s="4" t="s">
        <v>26</v>
      </c>
      <c r="B23" s="12" t="n">
        <v>0.01</v>
      </c>
      <c r="C23" s="6" t="s">
        <v>27</v>
      </c>
    </row>
    <row r="24" customFormat="false" ht="15" hidden="false" customHeight="false" outlineLevel="0" collapsed="false">
      <c r="A24" s="4" t="s">
        <v>28</v>
      </c>
      <c r="B24" s="12" t="n">
        <v>0.055</v>
      </c>
      <c r="C24" s="6" t="s">
        <v>29</v>
      </c>
    </row>
    <row r="25" customFormat="false" ht="15" hidden="false" customHeight="false" outlineLevel="0" collapsed="false">
      <c r="A25" s="4" t="s">
        <v>30</v>
      </c>
      <c r="B25" s="13" t="n">
        <v>20</v>
      </c>
      <c r="C25" s="6" t="s">
        <v>31</v>
      </c>
    </row>
    <row r="26" customFormat="false" ht="15" hidden="false" customHeight="false" outlineLevel="0" collapsed="false">
      <c r="A26" s="4" t="s">
        <v>32</v>
      </c>
      <c r="B26" s="14" t="n">
        <v>1.35</v>
      </c>
      <c r="C26" s="6" t="s">
        <v>33</v>
      </c>
    </row>
    <row r="27" customFormat="false" ht="15" hidden="false" customHeight="false" outlineLevel="0" collapsed="false">
      <c r="A27" s="4" t="s">
        <v>34</v>
      </c>
      <c r="B27" s="12" t="n">
        <v>0.55</v>
      </c>
      <c r="C27" s="6" t="s">
        <v>35</v>
      </c>
    </row>
    <row r="28" customFormat="false" ht="15" hidden="false" customHeight="false" outlineLevel="0" collapsed="false">
      <c r="A28" s="4" t="s">
        <v>36</v>
      </c>
      <c r="B28" s="12" t="n">
        <v>0.2984</v>
      </c>
      <c r="C28" s="6" t="s">
        <v>37</v>
      </c>
    </row>
    <row r="29" customFormat="false" ht="15" hidden="false" customHeight="false" outlineLevel="0" collapsed="false">
      <c r="A29" s="4" t="s">
        <v>38</v>
      </c>
      <c r="B29" s="12" t="n">
        <v>0.8</v>
      </c>
      <c r="C29" s="6" t="s">
        <v>39</v>
      </c>
    </row>
    <row r="30" customFormat="false" ht="15" hidden="false" customHeight="false" outlineLevel="0" collapsed="false">
      <c r="A30" s="4" t="s">
        <v>40</v>
      </c>
      <c r="B30" s="12" t="n">
        <v>0.07</v>
      </c>
      <c r="C30" s="6" t="s">
        <v>41</v>
      </c>
    </row>
    <row r="31" customFormat="false" ht="15" hidden="false" customHeight="false" outlineLevel="0" collapsed="false">
      <c r="A31" s="4" t="s">
        <v>42</v>
      </c>
      <c r="B31" s="8" t="n">
        <v>72</v>
      </c>
      <c r="C31" s="6" t="s">
        <v>43</v>
      </c>
    </row>
    <row r="32" customFormat="false" ht="15" hidden="false" customHeight="false" outlineLevel="0" collapsed="false">
      <c r="A32" s="4" t="s">
        <v>44</v>
      </c>
      <c r="B32" s="8" t="n">
        <v>60</v>
      </c>
      <c r="C32" s="6" t="s">
        <v>45</v>
      </c>
    </row>
    <row r="33" customFormat="false" ht="15" hidden="false" customHeight="false" outlineLevel="0" collapsed="false">
      <c r="A33" s="4" t="s">
        <v>46</v>
      </c>
      <c r="B33" s="12" t="n">
        <v>0.015</v>
      </c>
      <c r="C33" s="6" t="s">
        <v>47</v>
      </c>
    </row>
    <row r="34" customFormat="false" ht="15" hidden="false" customHeight="false" outlineLevel="0" collapsed="false">
      <c r="A34" s="4" t="s">
        <v>48</v>
      </c>
      <c r="B34" s="13" t="n">
        <v>2</v>
      </c>
      <c r="C34" s="6" t="s">
        <v>49</v>
      </c>
    </row>
    <row r="35" customFormat="false" ht="15" hidden="false" customHeight="false" outlineLevel="0" collapsed="false">
      <c r="A35" s="4" t="s">
        <v>50</v>
      </c>
      <c r="B35" s="13" t="n">
        <v>25</v>
      </c>
      <c r="C35" s="6" t="s">
        <v>49</v>
      </c>
    </row>
    <row r="36" customFormat="false" ht="15" hidden="false" customHeight="false" outlineLevel="0" collapsed="false">
      <c r="A36" s="4" t="s">
        <v>51</v>
      </c>
      <c r="B36" s="13" t="n">
        <v>8</v>
      </c>
      <c r="C36" s="6" t="s">
        <v>52</v>
      </c>
    </row>
    <row r="37" customFormat="false" ht="15" hidden="false" customHeight="false" outlineLevel="0" collapsed="false">
      <c r="A37" s="4" t="s">
        <v>53</v>
      </c>
      <c r="B37" s="15" t="n">
        <v>1</v>
      </c>
      <c r="C37" s="6" t="s">
        <v>54</v>
      </c>
    </row>
    <row r="38" customFormat="false" ht="15" hidden="false" customHeight="false" outlineLevel="0" collapsed="false">
      <c r="A38" s="4" t="s">
        <v>55</v>
      </c>
      <c r="B38" s="12" t="n">
        <v>0.7</v>
      </c>
      <c r="C38" s="6" t="s">
        <v>52</v>
      </c>
    </row>
    <row r="39" customFormat="false" ht="15" hidden="false" customHeight="false" outlineLevel="0" collapsed="false">
      <c r="A39" s="4" t="s">
        <v>56</v>
      </c>
      <c r="B39" s="12" t="n">
        <v>0.975</v>
      </c>
      <c r="C39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1" t="s">
        <v>57</v>
      </c>
    </row>
    <row r="3" customFormat="false" ht="15" hidden="false" customHeight="false" outlineLevel="0" collapsed="false">
      <c r="A3" s="16"/>
      <c r="B3" s="16" t="s">
        <v>58</v>
      </c>
      <c r="C3" s="16" t="s">
        <v>59</v>
      </c>
    </row>
    <row r="4" customFormat="false" ht="15" hidden="false" customHeight="false" outlineLevel="0" collapsed="false">
      <c r="A4" s="4" t="s">
        <v>60</v>
      </c>
      <c r="B4" s="17" t="n">
        <f aca="false">Inputs!$B$16</f>
        <v>197</v>
      </c>
      <c r="C4" s="17" t="n">
        <f aca="false">Inputs!$B$16+Inputs!$B$18</f>
        <v>209</v>
      </c>
    </row>
    <row r="5" customFormat="false" ht="15" hidden="false" customHeight="false" outlineLevel="0" collapsed="false">
      <c r="A5" s="4" t="s">
        <v>61</v>
      </c>
      <c r="B5" s="18" t="n">
        <f aca="false">Inputs!$B$11*Inputs!$B$12*8760*Inputs!$B$14*(1-Inputs!$B$15)</f>
        <v>230179.95</v>
      </c>
      <c r="C5" s="18" t="n">
        <f aca="false">Inputs!$B$11*Inputs!$B$12*8760*Inputs!$B$14*(1-Inputs!$B$15)</f>
        <v>230179.95</v>
      </c>
    </row>
    <row r="6" customFormat="false" ht="15" hidden="false" customHeight="false" outlineLevel="0" collapsed="false">
      <c r="A6" s="4" t="s">
        <v>62</v>
      </c>
      <c r="B6" s="17" t="n">
        <f aca="false">B5*Inputs!$B$31/1000000</f>
        <v>16.5729564</v>
      </c>
      <c r="C6" s="17" t="n">
        <f aca="false">C5*Inputs!$B$31/1000000</f>
        <v>16.5729564</v>
      </c>
    </row>
    <row r="7" customFormat="false" ht="15" hidden="false" customHeight="false" outlineLevel="0" collapsed="false">
      <c r="A7" s="4" t="s">
        <v>63</v>
      </c>
      <c r="B7" s="17" t="n">
        <f aca="false">Inputs!$B$19+Inputs!$B$20+Inputs!$B$33*B6</f>
        <v>4.336594346</v>
      </c>
      <c r="C7" s="17" t="n">
        <f aca="false">Inputs!$B$19+Inputs!$B$20+Inputs!$B$21+Inputs!$B$33*C6</f>
        <v>5.086594346</v>
      </c>
    </row>
    <row r="8" customFormat="false" ht="15" hidden="false" customHeight="false" outlineLevel="0" collapsed="false">
      <c r="A8" s="4" t="s">
        <v>64</v>
      </c>
      <c r="B8" s="17" t="n">
        <f aca="false">B6-B7</f>
        <v>12.236362054</v>
      </c>
      <c r="C8" s="17" t="n">
        <f aca="false">C6-C7</f>
        <v>11.486362054</v>
      </c>
    </row>
    <row r="9" customFormat="false" ht="15" hidden="false" customHeight="false" outlineLevel="0" collapsed="false">
      <c r="A9" s="4" t="s">
        <v>65</v>
      </c>
      <c r="B9" s="17" t="n">
        <f aca="false">B8/Inputs!$B$26</f>
        <v>9.06397189185185</v>
      </c>
      <c r="C9" s="17" t="n">
        <f aca="false">C8/Inputs!$B$26</f>
        <v>8.50841633629629</v>
      </c>
    </row>
    <row r="10" customFormat="false" ht="15" hidden="false" customHeight="false" outlineLevel="0" collapsed="false">
      <c r="A10" s="4" t="s">
        <v>66</v>
      </c>
      <c r="B10" s="17" t="n">
        <f aca="false">B9*(1-(1+Inputs!$B$24)^-Inputs!$B$25)/Inputs!$B$24</f>
        <v>108.317930940269</v>
      </c>
      <c r="C10" s="17" t="n">
        <f aca="false">C9*(1-(1+Inputs!$B$24)^-Inputs!$B$25)/Inputs!$B$24</f>
        <v>101.678829559753</v>
      </c>
    </row>
    <row r="11" customFormat="false" ht="15" hidden="false" customHeight="false" outlineLevel="0" collapsed="false">
      <c r="A11" s="4" t="s">
        <v>67</v>
      </c>
      <c r="B11" s="17" t="n">
        <f aca="false">MIN(B10,Inputs!$B$27*B4)</f>
        <v>108.317930940269</v>
      </c>
      <c r="C11" s="17" t="n">
        <f aca="false">MIN(C10,Inputs!$B$27*C4)</f>
        <v>101.678829559753</v>
      </c>
    </row>
    <row r="12" customFormat="false" ht="15" hidden="false" customHeight="false" outlineLevel="0" collapsed="false">
      <c r="A12" s="4" t="s">
        <v>68</v>
      </c>
      <c r="B12" s="17" t="n">
        <f aca="false">B11/((1-(1+Inputs!$B$24)^-Inputs!$B$25)/Inputs!$B$24)</f>
        <v>9.06397189185185</v>
      </c>
      <c r="C12" s="17" t="n">
        <f aca="false">C11/((1-(1+Inputs!$B$24)^-Inputs!$B$25)/Inputs!$B$24)</f>
        <v>8.50841633629629</v>
      </c>
    </row>
    <row r="13" customFormat="false" ht="15" hidden="false" customHeight="false" outlineLevel="0" collapsed="false">
      <c r="A13" s="4" t="s">
        <v>69</v>
      </c>
      <c r="B13" s="17" t="n">
        <f aca="false">IF(Inputs!$B$8=1,Inputs!$B$17*Inputs!$B$7,0)</f>
        <v>54</v>
      </c>
      <c r="C13" s="17" t="n">
        <f aca="false">IF(Inputs!$B$8=1,Inputs!$B$17*Inputs!$B$7,0)</f>
        <v>54</v>
      </c>
    </row>
    <row r="14" customFormat="false" ht="15" hidden="false" customHeight="false" outlineLevel="0" collapsed="false">
      <c r="A14" s="4" t="s">
        <v>70</v>
      </c>
      <c r="B14" s="18" t="n">
        <f aca="false">Inputs!$B$34+Inputs!$B$6+1</f>
        <v>7</v>
      </c>
      <c r="C14" s="18" t="n">
        <f aca="false">Inputs!$B$34+1</f>
        <v>3</v>
      </c>
    </row>
    <row r="15" customFormat="false" ht="15" hidden="false" customHeight="false" outlineLevel="0" collapsed="false">
      <c r="A15" s="4" t="s">
        <v>71</v>
      </c>
      <c r="B15" s="17" t="n">
        <f aca="false">IF(Inputs!$B$8=2,B5*Inputs!$B$9/1000000*(1-(1+Inputs!$B$30)^-10)/Inputs!$B$30/(1+Inputs!$B$30)^(B14-1),0)</f>
        <v>0</v>
      </c>
      <c r="C15" s="17" t="n">
        <f aca="false">IF(Inputs!$B$8=2,C5*Inputs!$B$9/1000000*(1-(1+Inputs!$B$30)^-10)/Inputs!$B$30/(1+Inputs!$B$30)^(C14-1),0)</f>
        <v>0</v>
      </c>
    </row>
    <row r="16" customFormat="false" ht="15" hidden="false" customHeight="false" outlineLevel="0" collapsed="false">
      <c r="A16" s="4" t="s">
        <v>72</v>
      </c>
      <c r="B16" s="17" t="n">
        <f aca="false">IF(Inputs!$B$8=1,Inputs!$B$17-0.5*B13,Inputs!$B$17)</f>
        <v>153</v>
      </c>
      <c r="C16" s="17" t="n">
        <f aca="false">IF(Inputs!$B$8=1,Inputs!$B$17-0.5*C13,Inputs!$B$17)</f>
        <v>153</v>
      </c>
    </row>
    <row r="17" customFormat="false" ht="15" hidden="false" customHeight="false" outlineLevel="0" collapsed="false">
      <c r="A17" s="4" t="s">
        <v>73</v>
      </c>
      <c r="B17" s="17" t="n">
        <f aca="true">SUMPRODUCT($B$25:$B$30, B16*Inputs!$B$28/(1+Inputs!$B$30)^ROW(INDIRECT("1:6")))</f>
        <v>37.9645049349221</v>
      </c>
      <c r="C17" s="17" t="n">
        <f aca="true">SUMPRODUCT($B$25:$B$30, C16*Inputs!$B$28/(1+Inputs!$B$30)^ROW(INDIRECT("1:6")))</f>
        <v>37.9645049349221</v>
      </c>
    </row>
    <row r="18" customFormat="false" ht="15" hidden="false" customHeight="false" outlineLevel="0" collapsed="false">
      <c r="A18" s="4" t="s">
        <v>74</v>
      </c>
      <c r="B18" s="17" t="n">
        <f aca="false">IF(Inputs!$B$7=0,0,Inputs!$B$29*(B13+B15+B17))</f>
        <v>73.5716039479377</v>
      </c>
      <c r="C18" s="17" t="n">
        <f aca="false">IF(Inputs!$B$7=0,0,Inputs!$B$29*(C13+C15+C17))</f>
        <v>73.5716039479377</v>
      </c>
    </row>
    <row r="19" customFormat="false" ht="15" hidden="false" customHeight="false" outlineLevel="0" collapsed="false">
      <c r="A19" s="4" t="s">
        <v>75</v>
      </c>
      <c r="B19" s="17" t="n">
        <f aca="false">B4-B11-B18</f>
        <v>15.1104651117936</v>
      </c>
      <c r="C19" s="17" t="n">
        <f aca="false">C4-C11-C18</f>
        <v>33.7495664923093</v>
      </c>
    </row>
    <row r="21" customFormat="false" ht="15" hidden="false" customHeight="false" outlineLevel="0" collapsed="false">
      <c r="A21" s="2" t="s">
        <v>76</v>
      </c>
    </row>
    <row r="22" customFormat="false" ht="15" hidden="false" customHeight="false" outlineLevel="0" collapsed="false">
      <c r="A22" s="2" t="s">
        <v>77</v>
      </c>
    </row>
    <row r="24" customFormat="false" ht="15" hidden="false" customHeight="false" outlineLevel="0" collapsed="false">
      <c r="A24" s="16" t="s">
        <v>78</v>
      </c>
    </row>
    <row r="25" customFormat="false" ht="15" hidden="false" customHeight="false" outlineLevel="0" collapsed="false">
      <c r="A25" s="4" t="s">
        <v>79</v>
      </c>
      <c r="B25" s="19" t="n">
        <v>0.2</v>
      </c>
    </row>
    <row r="26" customFormat="false" ht="15" hidden="false" customHeight="false" outlineLevel="0" collapsed="false">
      <c r="A26" s="4" t="s">
        <v>80</v>
      </c>
      <c r="B26" s="19" t="n">
        <v>0.32</v>
      </c>
    </row>
    <row r="27" customFormat="false" ht="15" hidden="false" customHeight="false" outlineLevel="0" collapsed="false">
      <c r="A27" s="4" t="s">
        <v>81</v>
      </c>
      <c r="B27" s="19" t="n">
        <v>0.192</v>
      </c>
    </row>
    <row r="28" customFormat="false" ht="15" hidden="false" customHeight="false" outlineLevel="0" collapsed="false">
      <c r="A28" s="4" t="s">
        <v>82</v>
      </c>
      <c r="B28" s="19" t="n">
        <v>0.1152</v>
      </c>
    </row>
    <row r="29" customFormat="false" ht="15" hidden="false" customHeight="false" outlineLevel="0" collapsed="false">
      <c r="A29" s="4" t="s">
        <v>83</v>
      </c>
      <c r="B29" s="19" t="n">
        <v>0.1152</v>
      </c>
    </row>
    <row r="30" customFormat="false" ht="15" hidden="false" customHeight="false" outlineLevel="0" collapsed="false">
      <c r="A30" s="4" t="s">
        <v>84</v>
      </c>
      <c r="B30" s="19" t="n">
        <v>0.0576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10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  <c r="B3" s="3" t="s">
        <v>87</v>
      </c>
      <c r="C3" s="3" t="s">
        <v>88</v>
      </c>
      <c r="D3" s="3" t="s">
        <v>89</v>
      </c>
    </row>
    <row r="4" customFormat="false" ht="15" hidden="false" customHeight="false" outlineLevel="0" collapsed="false">
      <c r="A4" s="4" t="s">
        <v>14</v>
      </c>
      <c r="B4" s="13" t="n">
        <v>100</v>
      </c>
      <c r="C4" s="13" t="n">
        <v>150</v>
      </c>
      <c r="D4" s="6" t="s">
        <v>90</v>
      </c>
    </row>
    <row r="5" customFormat="false" ht="15" hidden="false" customHeight="false" outlineLevel="0" collapsed="false">
      <c r="A5" s="4" t="s">
        <v>15</v>
      </c>
      <c r="B5" s="12" t="n">
        <v>0.275</v>
      </c>
      <c r="C5" s="12" t="n">
        <v>0.35</v>
      </c>
      <c r="D5" s="6" t="s">
        <v>91</v>
      </c>
    </row>
    <row r="6" customFormat="false" ht="15" hidden="false" customHeight="false" outlineLevel="0" collapsed="false">
      <c r="A6" s="4" t="s">
        <v>16</v>
      </c>
      <c r="B6" s="12" t="n">
        <v>0.005</v>
      </c>
      <c r="C6" s="12" t="n">
        <v>0.002</v>
      </c>
      <c r="D6" s="6" t="s">
        <v>92</v>
      </c>
    </row>
    <row r="7" customFormat="false" ht="15" hidden="false" customHeight="false" outlineLevel="0" collapsed="false">
      <c r="A7" s="4" t="s">
        <v>17</v>
      </c>
      <c r="B7" s="12" t="n">
        <v>0.98</v>
      </c>
      <c r="C7" s="12" t="n">
        <v>0.96</v>
      </c>
      <c r="D7" s="6" t="s">
        <v>93</v>
      </c>
    </row>
    <row r="8" customFormat="false" ht="15" hidden="false" customHeight="false" outlineLevel="0" collapsed="false">
      <c r="A8" s="4" t="s">
        <v>18</v>
      </c>
      <c r="B8" s="12" t="n">
        <v>0.025</v>
      </c>
      <c r="C8" s="12" t="n">
        <v>0.025</v>
      </c>
      <c r="D8" s="6" t="s">
        <v>92</v>
      </c>
    </row>
    <row r="9" customFormat="false" ht="15" hidden="false" customHeight="false" outlineLevel="0" collapsed="false">
      <c r="A9" s="4" t="s">
        <v>19</v>
      </c>
      <c r="B9" s="15" t="n">
        <v>197</v>
      </c>
      <c r="C9" s="15" t="n">
        <v>321.4</v>
      </c>
      <c r="D9" s="6" t="s">
        <v>94</v>
      </c>
    </row>
    <row r="10" customFormat="false" ht="15" hidden="false" customHeight="false" outlineLevel="0" collapsed="false">
      <c r="A10" s="4" t="s">
        <v>20</v>
      </c>
      <c r="B10" s="15" t="n">
        <v>180</v>
      </c>
      <c r="C10" s="15" t="n">
        <v>296.25</v>
      </c>
      <c r="D10" s="6" t="s">
        <v>95</v>
      </c>
    </row>
    <row r="11" customFormat="false" ht="15" hidden="false" customHeight="false" outlineLevel="0" collapsed="false">
      <c r="A11" s="4" t="s">
        <v>21</v>
      </c>
      <c r="B11" s="15" t="n">
        <v>12</v>
      </c>
      <c r="C11" s="15" t="n">
        <v>18</v>
      </c>
      <c r="D11" s="6" t="s">
        <v>96</v>
      </c>
    </row>
    <row r="12" customFormat="false" ht="15" hidden="false" customHeight="false" outlineLevel="0" collapsed="false">
      <c r="A12" s="4" t="s">
        <v>22</v>
      </c>
      <c r="B12" s="15" t="n">
        <v>3</v>
      </c>
      <c r="C12" s="15" t="n">
        <v>6.375</v>
      </c>
      <c r="D12" s="6" t="s">
        <v>97</v>
      </c>
    </row>
    <row r="13" customFormat="false" ht="15" hidden="false" customHeight="false" outlineLevel="0" collapsed="false">
      <c r="A13" s="4" t="s">
        <v>23</v>
      </c>
      <c r="B13" s="15" t="n">
        <v>1.088</v>
      </c>
      <c r="C13" s="15" t="n">
        <v>1.586</v>
      </c>
      <c r="D13" s="6" t="s">
        <v>98</v>
      </c>
    </row>
    <row r="14" customFormat="false" ht="15" hidden="false" customHeight="false" outlineLevel="0" collapsed="false">
      <c r="A14" s="4" t="s">
        <v>24</v>
      </c>
      <c r="B14" s="15" t="n">
        <v>0.75</v>
      </c>
      <c r="C14" s="15" t="n">
        <v>1.125</v>
      </c>
      <c r="D14" s="6" t="s">
        <v>99</v>
      </c>
    </row>
    <row r="16" customFormat="false" ht="15" hidden="false" customHeight="false" outlineLevel="0" collapsed="false">
      <c r="A16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1" min="4" style="0" width="13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16" t="s">
        <v>102</v>
      </c>
      <c r="B2" s="20" t="n">
        <f aca="false">IRR(K5:K32)</f>
        <v>0.0389333684463198</v>
      </c>
    </row>
    <row r="4" customFormat="false" ht="26.85" hidden="false" customHeight="false" outlineLevel="0" collapsed="false">
      <c r="A4" s="21" t="s">
        <v>103</v>
      </c>
      <c r="B4" s="21" t="s">
        <v>104</v>
      </c>
      <c r="C4" s="21" t="s">
        <v>105</v>
      </c>
      <c r="D4" s="21" t="s">
        <v>106</v>
      </c>
      <c r="E4" s="21" t="s">
        <v>107</v>
      </c>
      <c r="F4" s="21" t="s">
        <v>108</v>
      </c>
      <c r="G4" s="21" t="s">
        <v>109</v>
      </c>
      <c r="H4" s="21" t="s">
        <v>110</v>
      </c>
      <c r="I4" s="21" t="s">
        <v>111</v>
      </c>
      <c r="J4" s="21" t="s">
        <v>112</v>
      </c>
      <c r="K4" s="21" t="s">
        <v>113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IF(A5=0,"Equity",IF(A5&lt;=Inputs!$B$34,"Construction",IF(A5&lt;=Inputs!$B$34+Inputs!$B$6,"Queue wait","Grid ops")))</f>
        <v>Equity</v>
      </c>
      <c r="C5" s="4" t="str">
        <f aca="false">IF(A5&lt;=Inputs!$B$34,"",A5-Inputs!$B$34-1)</f>
        <v/>
      </c>
      <c r="D5" s="18" t="n">
        <f aca="false">IF(A5&lt;=Inputs!$B$34,0,Inputs!$B$11*Inputs!$B$12*8760*(1-Inputs!$B$13)^C5*Inputs!$B$14*(1-Inputs!$B$15))</f>
        <v>0</v>
      </c>
      <c r="E5" s="17" t="n">
        <f aca="false">IF(A5&lt;=Inputs!$B$34,0,IF(A5&lt;=Inputs!$B$34+Inputs!$B$6,0,D5*Inputs!$B$31/1000000))</f>
        <v>0</v>
      </c>
      <c r="F5" s="17" t="n">
        <f aca="false">IF(A5&lt;=Inputs!$B$34,0,IF(A5&lt;=Inputs!$B$34+Inputs!$B$6,Inputs!$B$20,Inputs!$B$19+Inputs!$B$20+Inputs!$B$33*E5))</f>
        <v>0</v>
      </c>
      <c r="G5" s="17" t="n">
        <f aca="false">E5-F5</f>
        <v>0</v>
      </c>
      <c r="H5" s="11" t="n">
        <f aca="false">IF(AND(A5&gt;Inputs!$B$34,A5&lt;=Inputs!$B$34+Inputs!$B$25),Capitalization!B$12,0)</f>
        <v>0</v>
      </c>
      <c r="I5" s="17" t="n">
        <f aca="false">G5-H5</f>
        <v>0</v>
      </c>
      <c r="J5" s="22" t="str">
        <f aca="false">IF(A5&lt;=Inputs!$B$34,"",IF(AND(A5&lt;=Inputs!$B$36,Capitalization!B$18&gt;0),Inputs!$B$38,Inputs!$B$39))</f>
        <v/>
      </c>
      <c r="K5" s="17" t="n">
        <f aca="false">IF(A5=0,-Capitalization!B$19,IF(A5&lt;=Inputs!$B$34,0,I5*J5-IF(AND(A5=Inputs!$B$36,Capitalization!B$18&gt;0),Inputs!$B$37,0)))</f>
        <v>-15.1104651117936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IF(A6=0,"Equity",IF(A6&lt;=Inputs!$B$34,"Construction",IF(A6&lt;=Inputs!$B$34+Inputs!$B$6,"Queue wait","Grid ops")))</f>
        <v>Construction</v>
      </c>
      <c r="C6" s="4" t="str">
        <f aca="false">IF(A6&lt;=Inputs!$B$34,"",A6-Inputs!$B$34-1)</f>
        <v/>
      </c>
      <c r="D6" s="18" t="n">
        <f aca="false">IF(A6&lt;=Inputs!$B$34,0,Inputs!$B$11*Inputs!$B$12*8760*(1-Inputs!$B$13)^C6*Inputs!$B$14*(1-Inputs!$B$15))</f>
        <v>0</v>
      </c>
      <c r="E6" s="17" t="n">
        <f aca="false">IF(A6&lt;=Inputs!$B$34,0,IF(A6&lt;=Inputs!$B$34+Inputs!$B$6,0,D6*Inputs!$B$31/1000000))</f>
        <v>0</v>
      </c>
      <c r="F6" s="17" t="n">
        <f aca="false">IF(A6&lt;=Inputs!$B$34,0,IF(A6&lt;=Inputs!$B$34+Inputs!$B$6,Inputs!$B$20,Inputs!$B$19+Inputs!$B$20+Inputs!$B$33*E6))</f>
        <v>0</v>
      </c>
      <c r="G6" s="17" t="n">
        <f aca="false">E6-F6</f>
        <v>0</v>
      </c>
      <c r="H6" s="11" t="n">
        <f aca="false">IF(AND(A6&gt;Inputs!$B$34,A6&lt;=Inputs!$B$34+Inputs!$B$25),Capitalization!B$12,0)</f>
        <v>0</v>
      </c>
      <c r="I6" s="17" t="n">
        <f aca="false">G6-H6</f>
        <v>0</v>
      </c>
      <c r="J6" s="22" t="str">
        <f aca="false">IF(A6&lt;=Inputs!$B$34,"",IF(AND(A6&lt;=Inputs!$B$36,Capitalization!B$18&gt;0),Inputs!$B$38,Inputs!$B$39))</f>
        <v/>
      </c>
      <c r="K6" s="17" t="n">
        <f aca="false">IF(A6=0,-Capitalization!B$19,IF(A6&lt;=Inputs!$B$34,0,I6*J6-IF(AND(A6=Inputs!$B$36,Capitalization!B$18&gt;0),Inputs!$B$37,0)))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IF(A7=0,"Equity",IF(A7&lt;=Inputs!$B$34,"Construction",IF(A7&lt;=Inputs!$B$34+Inputs!$B$6,"Queue wait","Grid ops")))</f>
        <v>Construction</v>
      </c>
      <c r="C7" s="4" t="str">
        <f aca="false">IF(A7&lt;=Inputs!$B$34,"",A7-Inputs!$B$34-1)</f>
        <v/>
      </c>
      <c r="D7" s="18" t="n">
        <f aca="false">IF(A7&lt;=Inputs!$B$34,0,Inputs!$B$11*Inputs!$B$12*8760*(1-Inputs!$B$13)^C7*Inputs!$B$14*(1-Inputs!$B$15))</f>
        <v>0</v>
      </c>
      <c r="E7" s="17" t="n">
        <f aca="false">IF(A7&lt;=Inputs!$B$34,0,IF(A7&lt;=Inputs!$B$34+Inputs!$B$6,0,D7*Inputs!$B$31/1000000))</f>
        <v>0</v>
      </c>
      <c r="F7" s="17" t="n">
        <f aca="false">IF(A7&lt;=Inputs!$B$34,0,IF(A7&lt;=Inputs!$B$34+Inputs!$B$6,Inputs!$B$20,Inputs!$B$19+Inputs!$B$20+Inputs!$B$33*E7))</f>
        <v>0</v>
      </c>
      <c r="G7" s="17" t="n">
        <f aca="false">E7-F7</f>
        <v>0</v>
      </c>
      <c r="H7" s="11" t="n">
        <f aca="false">IF(AND(A7&gt;Inputs!$B$34,A7&lt;=Inputs!$B$34+Inputs!$B$25),Capitalization!B$12,0)</f>
        <v>0</v>
      </c>
      <c r="I7" s="17" t="n">
        <f aca="false">G7-H7</f>
        <v>0</v>
      </c>
      <c r="J7" s="22" t="str">
        <f aca="false">IF(A7&lt;=Inputs!$B$34,"",IF(AND(A7&lt;=Inputs!$B$36,Capitalization!B$18&gt;0),Inputs!$B$38,Inputs!$B$39))</f>
        <v/>
      </c>
      <c r="K7" s="17" t="n">
        <f aca="false">IF(A7=0,-Capitalization!B$19,IF(A7&lt;=Inputs!$B$34,0,I7*J7-IF(AND(A7=Inputs!$B$36,Capitalization!B$18&gt;0),Inputs!$B$37,0)))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IF(A8=0,"Equity",IF(A8&lt;=Inputs!$B$34,"Construction",IF(A8&lt;=Inputs!$B$34+Inputs!$B$6,"Queue wait","Grid ops")))</f>
        <v>Queue wait</v>
      </c>
      <c r="C8" s="4" t="n">
        <f aca="false">IF(A8&lt;=Inputs!$B$34,"",A8-Inputs!$B$34-1)</f>
        <v>0</v>
      </c>
      <c r="D8" s="18" t="n">
        <f aca="false">IF(A8&lt;=Inputs!$B$34,0,Inputs!$B$11*Inputs!$B$12*8760*(1-Inputs!$B$13)^C8*Inputs!$B$14*(1-Inputs!$B$15))</f>
        <v>230179.95</v>
      </c>
      <c r="E8" s="17" t="n">
        <f aca="false">IF(A8&lt;=Inputs!$B$34,0,IF(A8&lt;=Inputs!$B$34+Inputs!$B$6,0,D8*Inputs!$B$31/1000000))</f>
        <v>0</v>
      </c>
      <c r="F8" s="17" t="n">
        <f aca="false">IF(A8&lt;=Inputs!$B$34,0,IF(A8&lt;=Inputs!$B$34+Inputs!$B$6,Inputs!$B$20,Inputs!$B$19+Inputs!$B$20+Inputs!$B$33*E8))</f>
        <v>1.088</v>
      </c>
      <c r="G8" s="17" t="n">
        <f aca="false">E8-F8</f>
        <v>-1.088</v>
      </c>
      <c r="H8" s="11" t="n">
        <f aca="false">IF(AND(A8&gt;Inputs!$B$34,A8&lt;=Inputs!$B$34+Inputs!$B$25),Capitalization!B$12,0)</f>
        <v>9.06397189185185</v>
      </c>
      <c r="I8" s="17" t="n">
        <f aca="false">G8-H8</f>
        <v>-10.1519718918519</v>
      </c>
      <c r="J8" s="22" t="n">
        <f aca="false">IF(A8&lt;=Inputs!$B$34,"",IF(AND(A8&lt;=Inputs!$B$36,Capitalization!B$18&gt;0),Inputs!$B$38,Inputs!$B$39))</f>
        <v>0.7</v>
      </c>
      <c r="K8" s="17" t="n">
        <f aca="false">IF(A8=0,-Capitalization!B$19,IF(A8&lt;=Inputs!$B$34,0,I8*J8-IF(AND(A8=Inputs!$B$36,Capitalization!B$18&gt;0),Inputs!$B$37,0)))</f>
        <v>-7.1063803242963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IF(A9=0,"Equity",IF(A9&lt;=Inputs!$B$34,"Construction",IF(A9&lt;=Inputs!$B$34+Inputs!$B$6,"Queue wait","Grid ops")))</f>
        <v>Queue wait</v>
      </c>
      <c r="C9" s="4" t="n">
        <f aca="false">IF(A9&lt;=Inputs!$B$34,"",A9-Inputs!$B$34-1)</f>
        <v>1</v>
      </c>
      <c r="D9" s="18" t="n">
        <f aca="false">IF(A9&lt;=Inputs!$B$34,0,Inputs!$B$11*Inputs!$B$12*8760*(1-Inputs!$B$13)^C9*Inputs!$B$14*(1-Inputs!$B$15))</f>
        <v>229029.05025</v>
      </c>
      <c r="E9" s="17" t="n">
        <f aca="false">IF(A9&lt;=Inputs!$B$34,0,IF(A9&lt;=Inputs!$B$34+Inputs!$B$6,0,D9*Inputs!$B$31/1000000))</f>
        <v>0</v>
      </c>
      <c r="F9" s="17" t="n">
        <f aca="false">IF(A9&lt;=Inputs!$B$34,0,IF(A9&lt;=Inputs!$B$34+Inputs!$B$6,Inputs!$B$20,Inputs!$B$19+Inputs!$B$20+Inputs!$B$33*E9))</f>
        <v>1.088</v>
      </c>
      <c r="G9" s="17" t="n">
        <f aca="false">E9-F9</f>
        <v>-1.088</v>
      </c>
      <c r="H9" s="11" t="n">
        <f aca="false">IF(AND(A9&gt;Inputs!$B$34,A9&lt;=Inputs!$B$34+Inputs!$B$25),Capitalization!B$12,0)</f>
        <v>9.06397189185185</v>
      </c>
      <c r="I9" s="17" t="n">
        <f aca="false">G9-H9</f>
        <v>-10.1519718918519</v>
      </c>
      <c r="J9" s="22" t="n">
        <f aca="false">IF(A9&lt;=Inputs!$B$34,"",IF(AND(A9&lt;=Inputs!$B$36,Capitalization!B$18&gt;0),Inputs!$B$38,Inputs!$B$39))</f>
        <v>0.7</v>
      </c>
      <c r="K9" s="17" t="n">
        <f aca="false">IF(A9=0,-Capitalization!B$19,IF(A9&lt;=Inputs!$B$34,0,I9*J9-IF(AND(A9=Inputs!$B$36,Capitalization!B$18&gt;0),Inputs!$B$37,0)))</f>
        <v>-7.1063803242963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IF(A10=0,"Equity",IF(A10&lt;=Inputs!$B$34,"Construction",IF(A10&lt;=Inputs!$B$34+Inputs!$B$6,"Queue wait","Grid ops")))</f>
        <v>Queue wait</v>
      </c>
      <c r="C10" s="4" t="n">
        <f aca="false">IF(A10&lt;=Inputs!$B$34,"",A10-Inputs!$B$34-1)</f>
        <v>2</v>
      </c>
      <c r="D10" s="18" t="n">
        <f aca="false">IF(A10&lt;=Inputs!$B$34,0,Inputs!$B$11*Inputs!$B$12*8760*(1-Inputs!$B$13)^C10*Inputs!$B$14*(1-Inputs!$B$15))</f>
        <v>227883.90499875</v>
      </c>
      <c r="E10" s="17" t="n">
        <f aca="false">IF(A10&lt;=Inputs!$B$34,0,IF(A10&lt;=Inputs!$B$34+Inputs!$B$6,0,D10*Inputs!$B$31/1000000))</f>
        <v>0</v>
      </c>
      <c r="F10" s="17" t="n">
        <f aca="false">IF(A10&lt;=Inputs!$B$34,0,IF(A10&lt;=Inputs!$B$34+Inputs!$B$6,Inputs!$B$20,Inputs!$B$19+Inputs!$B$20+Inputs!$B$33*E10))</f>
        <v>1.088</v>
      </c>
      <c r="G10" s="17" t="n">
        <f aca="false">E10-F10</f>
        <v>-1.088</v>
      </c>
      <c r="H10" s="11" t="n">
        <f aca="false">IF(AND(A10&gt;Inputs!$B$34,A10&lt;=Inputs!$B$34+Inputs!$B$25),Capitalization!B$12,0)</f>
        <v>9.06397189185185</v>
      </c>
      <c r="I10" s="17" t="n">
        <f aca="false">G10-H10</f>
        <v>-10.1519718918519</v>
      </c>
      <c r="J10" s="22" t="n">
        <f aca="false">IF(A10&lt;=Inputs!$B$34,"",IF(AND(A10&lt;=Inputs!$B$36,Capitalization!B$18&gt;0),Inputs!$B$38,Inputs!$B$39))</f>
        <v>0.7</v>
      </c>
      <c r="K10" s="17" t="n">
        <f aca="false">IF(A10=0,-Capitalization!B$19,IF(A10&lt;=Inputs!$B$34,0,I10*J10-IF(AND(A10=Inputs!$B$36,Capitalization!B$18&gt;0),Inputs!$B$37,0)))</f>
        <v>-7.1063803242963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IF(A11=0,"Equity",IF(A11&lt;=Inputs!$B$34,"Construction",IF(A11&lt;=Inputs!$B$34+Inputs!$B$6,"Queue wait","Grid ops")))</f>
        <v>Queue wait</v>
      </c>
      <c r="C11" s="4" t="n">
        <f aca="false">IF(A11&lt;=Inputs!$B$34,"",A11-Inputs!$B$34-1)</f>
        <v>3</v>
      </c>
      <c r="D11" s="18" t="n">
        <f aca="false">IF(A11&lt;=Inputs!$B$34,0,Inputs!$B$11*Inputs!$B$12*8760*(1-Inputs!$B$13)^C11*Inputs!$B$14*(1-Inputs!$B$15))</f>
        <v>226744.485473756</v>
      </c>
      <c r="E11" s="17" t="n">
        <f aca="false">IF(A11&lt;=Inputs!$B$34,0,IF(A11&lt;=Inputs!$B$34+Inputs!$B$6,0,D11*Inputs!$B$31/1000000))</f>
        <v>0</v>
      </c>
      <c r="F11" s="17" t="n">
        <f aca="false">IF(A11&lt;=Inputs!$B$34,0,IF(A11&lt;=Inputs!$B$34+Inputs!$B$6,Inputs!$B$20,Inputs!$B$19+Inputs!$B$20+Inputs!$B$33*E11))</f>
        <v>1.088</v>
      </c>
      <c r="G11" s="17" t="n">
        <f aca="false">E11-F11</f>
        <v>-1.088</v>
      </c>
      <c r="H11" s="11" t="n">
        <f aca="false">IF(AND(A11&gt;Inputs!$B$34,A11&lt;=Inputs!$B$34+Inputs!$B$25),Capitalization!B$12,0)</f>
        <v>9.06397189185185</v>
      </c>
      <c r="I11" s="17" t="n">
        <f aca="false">G11-H11</f>
        <v>-10.1519718918519</v>
      </c>
      <c r="J11" s="22" t="n">
        <f aca="false">IF(A11&lt;=Inputs!$B$34,"",IF(AND(A11&lt;=Inputs!$B$36,Capitalization!B$18&gt;0),Inputs!$B$38,Inputs!$B$39))</f>
        <v>0.7</v>
      </c>
      <c r="K11" s="17" t="n">
        <f aca="false">IF(A11=0,-Capitalization!B$19,IF(A11&lt;=Inputs!$B$34,0,I11*J11-IF(AND(A11=Inputs!$B$36,Capitalization!B$18&gt;0),Inputs!$B$37,0)))</f>
        <v>-7.1063803242963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IF(A12=0,"Equity",IF(A12&lt;=Inputs!$B$34,"Construction",IF(A12&lt;=Inputs!$B$34+Inputs!$B$6,"Queue wait","Grid ops")))</f>
        <v>Grid ops</v>
      </c>
      <c r="C12" s="4" t="n">
        <f aca="false">IF(A12&lt;=Inputs!$B$34,"",A12-Inputs!$B$34-1)</f>
        <v>4</v>
      </c>
      <c r="D12" s="18" t="n">
        <f aca="false">IF(A12&lt;=Inputs!$B$34,0,Inputs!$B$11*Inputs!$B$12*8760*(1-Inputs!$B$13)^C12*Inputs!$B$14*(1-Inputs!$B$15))</f>
        <v>225610.763046388</v>
      </c>
      <c r="E12" s="17" t="n">
        <f aca="false">IF(A12&lt;=Inputs!$B$34,0,IF(A12&lt;=Inputs!$B$34+Inputs!$B$6,0,D12*Inputs!$B$31/1000000))</f>
        <v>16.2439749393399</v>
      </c>
      <c r="F12" s="17" t="n">
        <f aca="false">IF(A12&lt;=Inputs!$B$34,0,IF(A12&lt;=Inputs!$B$34+Inputs!$B$6,Inputs!$B$20,Inputs!$B$19+Inputs!$B$20+Inputs!$B$33*E12))</f>
        <v>4.3316596240901</v>
      </c>
      <c r="G12" s="17" t="n">
        <f aca="false">E12-F12</f>
        <v>11.9123153152498</v>
      </c>
      <c r="H12" s="11" t="n">
        <f aca="false">IF(AND(A12&gt;Inputs!$B$34,A12&lt;=Inputs!$B$34+Inputs!$B$25),Capitalization!B$12,0)</f>
        <v>9.06397189185185</v>
      </c>
      <c r="I12" s="17" t="n">
        <f aca="false">G12-H12</f>
        <v>2.84834342339795</v>
      </c>
      <c r="J12" s="22" t="n">
        <f aca="false">IF(A12&lt;=Inputs!$B$34,"",IF(AND(A12&lt;=Inputs!$B$36,Capitalization!B$18&gt;0),Inputs!$B$38,Inputs!$B$39))</f>
        <v>0.7</v>
      </c>
      <c r="K12" s="17" t="n">
        <f aca="false">IF(A12=0,-Capitalization!B$19,IF(A12&lt;=Inputs!$B$34,0,I12*J12-IF(AND(A12=Inputs!$B$36,Capitalization!B$18&gt;0),Inputs!$B$37,0)))</f>
        <v>1.99384039637857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IF(A13=0,"Equity",IF(A13&lt;=Inputs!$B$34,"Construction",IF(A13&lt;=Inputs!$B$34+Inputs!$B$6,"Queue wait","Grid ops")))</f>
        <v>Grid ops</v>
      </c>
      <c r="C13" s="4" t="n">
        <f aca="false">IF(A13&lt;=Inputs!$B$34,"",A13-Inputs!$B$34-1)</f>
        <v>5</v>
      </c>
      <c r="D13" s="18" t="n">
        <f aca="false">IF(A13&lt;=Inputs!$B$34,0,Inputs!$B$11*Inputs!$B$12*8760*(1-Inputs!$B$13)^C13*Inputs!$B$14*(1-Inputs!$B$15))</f>
        <v>224482.709231156</v>
      </c>
      <c r="E13" s="17" t="n">
        <f aca="false">IF(A13&lt;=Inputs!$B$34,0,IF(A13&lt;=Inputs!$B$34+Inputs!$B$6,0,D13*Inputs!$B$31/1000000))</f>
        <v>16.1627550646432</v>
      </c>
      <c r="F13" s="17" t="n">
        <f aca="false">IF(A13&lt;=Inputs!$B$34,0,IF(A13&lt;=Inputs!$B$34+Inputs!$B$6,Inputs!$B$20,Inputs!$B$19+Inputs!$B$20+Inputs!$B$33*E13))</f>
        <v>4.33044132596965</v>
      </c>
      <c r="G13" s="17" t="n">
        <f aca="false">E13-F13</f>
        <v>11.8323137386736</v>
      </c>
      <c r="H13" s="11" t="n">
        <f aca="false">IF(AND(A13&gt;Inputs!$B$34,A13&lt;=Inputs!$B$34+Inputs!$B$25),Capitalization!B$12,0)</f>
        <v>9.06397189185185</v>
      </c>
      <c r="I13" s="17" t="n">
        <f aca="false">G13-H13</f>
        <v>2.7683418468217</v>
      </c>
      <c r="J13" s="22" t="n">
        <f aca="false">IF(A13&lt;=Inputs!$B$34,"",IF(AND(A13&lt;=Inputs!$B$36,Capitalization!B$18&gt;0),Inputs!$B$38,Inputs!$B$39))</f>
        <v>0.7</v>
      </c>
      <c r="K13" s="17" t="n">
        <f aca="false">IF(A13=0,-Capitalization!B$19,IF(A13&lt;=Inputs!$B$34,0,I13*J13-IF(AND(A13=Inputs!$B$36,Capitalization!B$18&gt;0),Inputs!$B$37,0)))</f>
        <v>0.937839292775191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IF(A14=0,"Equity",IF(A14&lt;=Inputs!$B$34,"Construction",IF(A14&lt;=Inputs!$B$34+Inputs!$B$6,"Queue wait","Grid ops")))</f>
        <v>Grid ops</v>
      </c>
      <c r="C14" s="4" t="n">
        <f aca="false">IF(A14&lt;=Inputs!$B$34,"",A14-Inputs!$B$34-1)</f>
        <v>6</v>
      </c>
      <c r="D14" s="18" t="n">
        <f aca="false">IF(A14&lt;=Inputs!$B$34,0,Inputs!$B$11*Inputs!$B$12*8760*(1-Inputs!$B$13)^C14*Inputs!$B$14*(1-Inputs!$B$15))</f>
        <v>223360.295685</v>
      </c>
      <c r="E14" s="17" t="n">
        <f aca="false">IF(A14&lt;=Inputs!$B$34,0,IF(A14&lt;=Inputs!$B$34+Inputs!$B$6,0,D14*Inputs!$B$31/1000000))</f>
        <v>16.08194128932</v>
      </c>
      <c r="F14" s="17" t="n">
        <f aca="false">IF(A14&lt;=Inputs!$B$34,0,IF(A14&lt;=Inputs!$B$34+Inputs!$B$6,Inputs!$B$20,Inputs!$B$19+Inputs!$B$20+Inputs!$B$33*E14))</f>
        <v>4.3292291193398</v>
      </c>
      <c r="G14" s="17" t="n">
        <f aca="false">E14-F14</f>
        <v>11.7527121699802</v>
      </c>
      <c r="H14" s="11" t="n">
        <f aca="false">IF(AND(A14&gt;Inputs!$B$34,A14&lt;=Inputs!$B$34+Inputs!$B$25),Capitalization!B$12,0)</f>
        <v>9.06397189185185</v>
      </c>
      <c r="I14" s="17" t="n">
        <f aca="false">G14-H14</f>
        <v>2.68874027812833</v>
      </c>
      <c r="J14" s="22" t="n">
        <f aca="false">IF(A14&lt;=Inputs!$B$34,"",IF(AND(A14&lt;=Inputs!$B$36,Capitalization!B$18&gt;0),Inputs!$B$38,Inputs!$B$39))</f>
        <v>0.975</v>
      </c>
      <c r="K14" s="17" t="n">
        <f aca="false">IF(A14=0,-Capitalization!B$19,IF(A14&lt;=Inputs!$B$34,0,I14*J14-IF(AND(A14=Inputs!$B$36,Capitalization!B$18&gt;0),Inputs!$B$37,0)))</f>
        <v>2.62152177117512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IF(A15=0,"Equity",IF(A15&lt;=Inputs!$B$34,"Construction",IF(A15&lt;=Inputs!$B$34+Inputs!$B$6,"Queue wait","Grid ops")))</f>
        <v>Grid ops</v>
      </c>
      <c r="C15" s="4" t="n">
        <f aca="false">IF(A15&lt;=Inputs!$B$34,"",A15-Inputs!$B$34-1)</f>
        <v>7</v>
      </c>
      <c r="D15" s="18" t="n">
        <f aca="false">IF(A15&lt;=Inputs!$B$34,0,Inputs!$B$11*Inputs!$B$12*8760*(1-Inputs!$B$13)^C15*Inputs!$B$14*(1-Inputs!$B$15))</f>
        <v>222243.494206575</v>
      </c>
      <c r="E15" s="17" t="n">
        <f aca="false">IF(A15&lt;=Inputs!$B$34,0,IF(A15&lt;=Inputs!$B$34+Inputs!$B$6,0,D15*Inputs!$B$31/1000000))</f>
        <v>16.0015315828734</v>
      </c>
      <c r="F15" s="17" t="n">
        <f aca="false">IF(A15&lt;=Inputs!$B$34,0,IF(A15&lt;=Inputs!$B$34+Inputs!$B$6,Inputs!$B$20,Inputs!$B$19+Inputs!$B$20+Inputs!$B$33*E15))</f>
        <v>4.3280229737431</v>
      </c>
      <c r="G15" s="17" t="n">
        <f aca="false">E15-F15</f>
        <v>11.6735086091303</v>
      </c>
      <c r="H15" s="11" t="n">
        <f aca="false">IF(AND(A15&gt;Inputs!$B$34,A15&lt;=Inputs!$B$34+Inputs!$B$25),Capitalization!B$12,0)</f>
        <v>9.06397189185185</v>
      </c>
      <c r="I15" s="17" t="n">
        <f aca="false">G15-H15</f>
        <v>2.60953671727843</v>
      </c>
      <c r="J15" s="22" t="n">
        <f aca="false">IF(A15&lt;=Inputs!$B$34,"",IF(AND(A15&lt;=Inputs!$B$36,Capitalization!B$18&gt;0),Inputs!$B$38,Inputs!$B$39))</f>
        <v>0.975</v>
      </c>
      <c r="K15" s="17" t="n">
        <f aca="false">IF(A15=0,-Capitalization!B$19,IF(A15&lt;=Inputs!$B$34,0,I15*J15-IF(AND(A15=Inputs!$B$36,Capitalization!B$18&gt;0),Inputs!$B$37,0)))</f>
        <v>2.54429829934647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IF(A16=0,"Equity",IF(A16&lt;=Inputs!$B$34,"Construction",IF(A16&lt;=Inputs!$B$34+Inputs!$B$6,"Queue wait","Grid ops")))</f>
        <v>Grid ops</v>
      </c>
      <c r="C16" s="4" t="n">
        <f aca="false">IF(A16&lt;=Inputs!$B$34,"",A16-Inputs!$B$34-1)</f>
        <v>8</v>
      </c>
      <c r="D16" s="18" t="n">
        <f aca="false">IF(A16&lt;=Inputs!$B$34,0,Inputs!$B$11*Inputs!$B$12*8760*(1-Inputs!$B$13)^C16*Inputs!$B$14*(1-Inputs!$B$15))</f>
        <v>221132.276735542</v>
      </c>
      <c r="E16" s="17" t="n">
        <f aca="false">IF(A16&lt;=Inputs!$B$34,0,IF(A16&lt;=Inputs!$B$34+Inputs!$B$6,0,D16*Inputs!$B$31/1000000))</f>
        <v>15.921523924959</v>
      </c>
      <c r="F16" s="17" t="n">
        <f aca="false">IF(A16&lt;=Inputs!$B$34,0,IF(A16&lt;=Inputs!$B$34+Inputs!$B$6,Inputs!$B$20,Inputs!$B$19+Inputs!$B$20+Inputs!$B$33*E16))</f>
        <v>4.32682285887439</v>
      </c>
      <c r="G16" s="17" t="n">
        <f aca="false">E16-F16</f>
        <v>11.5947010660846</v>
      </c>
      <c r="H16" s="11" t="n">
        <f aca="false">IF(AND(A16&gt;Inputs!$B$34,A16&lt;=Inputs!$B$34+Inputs!$B$25),Capitalization!B$12,0)</f>
        <v>9.06397189185185</v>
      </c>
      <c r="I16" s="17" t="n">
        <f aca="false">G16-H16</f>
        <v>2.53072917423278</v>
      </c>
      <c r="J16" s="22" t="n">
        <f aca="false">IF(A16&lt;=Inputs!$B$34,"",IF(AND(A16&lt;=Inputs!$B$36,Capitalization!B$18&gt;0),Inputs!$B$38,Inputs!$B$39))</f>
        <v>0.975</v>
      </c>
      <c r="K16" s="17" t="n">
        <f aca="false">IF(A16=0,-Capitalization!B$19,IF(A16&lt;=Inputs!$B$34,0,I16*J16-IF(AND(A16=Inputs!$B$36,Capitalization!B$18&gt;0),Inputs!$B$37,0)))</f>
        <v>2.46746094487696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IF(A17=0,"Equity",IF(A17&lt;=Inputs!$B$34,"Construction",IF(A17&lt;=Inputs!$B$34+Inputs!$B$6,"Queue wait","Grid ops")))</f>
        <v>Grid ops</v>
      </c>
      <c r="C17" s="4" t="n">
        <f aca="false">IF(A17&lt;=Inputs!$B$34,"",A17-Inputs!$B$34-1)</f>
        <v>9</v>
      </c>
      <c r="D17" s="18" t="n">
        <f aca="false">IF(A17&lt;=Inputs!$B$34,0,Inputs!$B$11*Inputs!$B$12*8760*(1-Inputs!$B$13)^C17*Inputs!$B$14*(1-Inputs!$B$15))</f>
        <v>220026.615351864</v>
      </c>
      <c r="E17" s="17" t="n">
        <f aca="false">IF(A17&lt;=Inputs!$B$34,0,IF(A17&lt;=Inputs!$B$34+Inputs!$B$6,0,D17*Inputs!$B$31/1000000))</f>
        <v>15.8419163053342</v>
      </c>
      <c r="F17" s="17" t="n">
        <f aca="false">IF(A17&lt;=Inputs!$B$34,0,IF(A17&lt;=Inputs!$B$34+Inputs!$B$6,Inputs!$B$20,Inputs!$B$19+Inputs!$B$20+Inputs!$B$33*E17))</f>
        <v>4.32562874458001</v>
      </c>
      <c r="G17" s="17" t="n">
        <f aca="false">E17-F17</f>
        <v>11.5162875607542</v>
      </c>
      <c r="H17" s="11" t="n">
        <f aca="false">IF(AND(A17&gt;Inputs!$B$34,A17&lt;=Inputs!$B$34+Inputs!$B$25),Capitalization!B$12,0)</f>
        <v>9.06397189185185</v>
      </c>
      <c r="I17" s="17" t="n">
        <f aca="false">G17-H17</f>
        <v>2.45231566890236</v>
      </c>
      <c r="J17" s="22" t="n">
        <f aca="false">IF(A17&lt;=Inputs!$B$34,"",IF(AND(A17&lt;=Inputs!$B$36,Capitalization!B$18&gt;0),Inputs!$B$38,Inputs!$B$39))</f>
        <v>0.975</v>
      </c>
      <c r="K17" s="17" t="n">
        <f aca="false">IF(A17=0,-Capitalization!B$19,IF(A17&lt;=Inputs!$B$34,0,I17*J17-IF(AND(A17=Inputs!$B$36,Capitalization!B$18&gt;0),Inputs!$B$37,0)))</f>
        <v>2.3910077771798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IF(A18=0,"Equity",IF(A18&lt;=Inputs!$B$34,"Construction",IF(A18&lt;=Inputs!$B$34+Inputs!$B$6,"Queue wait","Grid ops")))</f>
        <v>Grid ops</v>
      </c>
      <c r="C18" s="4" t="n">
        <f aca="false">IF(A18&lt;=Inputs!$B$34,"",A18-Inputs!$B$34-1)</f>
        <v>10</v>
      </c>
      <c r="D18" s="18" t="n">
        <f aca="false">IF(A18&lt;=Inputs!$B$34,0,Inputs!$B$11*Inputs!$B$12*8760*(1-Inputs!$B$13)^C18*Inputs!$B$14*(1-Inputs!$B$15))</f>
        <v>218926.482275105</v>
      </c>
      <c r="E18" s="17" t="n">
        <f aca="false">IF(A18&lt;=Inputs!$B$34,0,IF(A18&lt;=Inputs!$B$34+Inputs!$B$6,0,D18*Inputs!$B$31/1000000))</f>
        <v>15.7627067238076</v>
      </c>
      <c r="F18" s="17" t="n">
        <f aca="false">IF(A18&lt;=Inputs!$B$34,0,IF(A18&lt;=Inputs!$B$34+Inputs!$B$6,Inputs!$B$20,Inputs!$B$19+Inputs!$B$20+Inputs!$B$33*E18))</f>
        <v>4.32444060085711</v>
      </c>
      <c r="G18" s="17" t="n">
        <f aca="false">E18-F18</f>
        <v>11.4382661229504</v>
      </c>
      <c r="H18" s="11" t="n">
        <f aca="false">IF(AND(A18&gt;Inputs!$B$34,A18&lt;=Inputs!$B$34+Inputs!$B$25),Capitalization!B$12,0)</f>
        <v>9.06397189185185</v>
      </c>
      <c r="I18" s="17" t="n">
        <f aca="false">G18-H18</f>
        <v>2.37429423109859</v>
      </c>
      <c r="J18" s="22" t="n">
        <f aca="false">IF(A18&lt;=Inputs!$B$34,"",IF(AND(A18&lt;=Inputs!$B$36,Capitalization!B$18&gt;0),Inputs!$B$38,Inputs!$B$39))</f>
        <v>0.975</v>
      </c>
      <c r="K18" s="17" t="n">
        <f aca="false">IF(A18=0,-Capitalization!B$19,IF(A18&lt;=Inputs!$B$34,0,I18*J18-IF(AND(A18=Inputs!$B$36,Capitalization!B$18&gt;0),Inputs!$B$37,0)))</f>
        <v>2.31493687532112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IF(A19=0,"Equity",IF(A19&lt;=Inputs!$B$34,"Construction",IF(A19&lt;=Inputs!$B$34+Inputs!$B$6,"Queue wait","Grid ops")))</f>
        <v>Grid ops</v>
      </c>
      <c r="C19" s="4" t="n">
        <f aca="false">IF(A19&lt;=Inputs!$B$34,"",A19-Inputs!$B$34-1)</f>
        <v>11</v>
      </c>
      <c r="D19" s="18" t="n">
        <f aca="false">IF(A19&lt;=Inputs!$B$34,0,Inputs!$B$11*Inputs!$B$12*8760*(1-Inputs!$B$13)^C19*Inputs!$B$14*(1-Inputs!$B$15))</f>
        <v>217831.849863729</v>
      </c>
      <c r="E19" s="17" t="n">
        <f aca="false">IF(A19&lt;=Inputs!$B$34,0,IF(A19&lt;=Inputs!$B$34+Inputs!$B$6,0,D19*Inputs!$B$31/1000000))</f>
        <v>15.6838931901885</v>
      </c>
      <c r="F19" s="17" t="n">
        <f aca="false">IF(A19&lt;=Inputs!$B$34,0,IF(A19&lt;=Inputs!$B$34+Inputs!$B$6,Inputs!$B$20,Inputs!$B$19+Inputs!$B$20+Inputs!$B$33*E19))</f>
        <v>4.32325839785283</v>
      </c>
      <c r="G19" s="17" t="n">
        <f aca="false">E19-F19</f>
        <v>11.3606347923357</v>
      </c>
      <c r="H19" s="11" t="n">
        <f aca="false">IF(AND(A19&gt;Inputs!$B$34,A19&lt;=Inputs!$B$34+Inputs!$B$25),Capitalization!B$12,0)</f>
        <v>9.06397189185185</v>
      </c>
      <c r="I19" s="17" t="n">
        <f aca="false">G19-H19</f>
        <v>2.29666290048383</v>
      </c>
      <c r="J19" s="22" t="n">
        <f aca="false">IF(A19&lt;=Inputs!$B$34,"",IF(AND(A19&lt;=Inputs!$B$36,Capitalization!B$18&gt;0),Inputs!$B$38,Inputs!$B$39))</f>
        <v>0.975</v>
      </c>
      <c r="K19" s="17" t="n">
        <f aca="false">IF(A19=0,-Capitalization!B$19,IF(A19&lt;=Inputs!$B$34,0,I19*J19-IF(AND(A19=Inputs!$B$36,Capitalization!B$18&gt;0),Inputs!$B$37,0)))</f>
        <v>2.23924632797174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IF(A20=0,"Equity",IF(A20&lt;=Inputs!$B$34,"Construction",IF(A20&lt;=Inputs!$B$34+Inputs!$B$6,"Queue wait","Grid ops")))</f>
        <v>Grid ops</v>
      </c>
      <c r="C20" s="4" t="n">
        <f aca="false">IF(A20&lt;=Inputs!$B$34,"",A20-Inputs!$B$34-1)</f>
        <v>12</v>
      </c>
      <c r="D20" s="18" t="n">
        <f aca="false">IF(A20&lt;=Inputs!$B$34,0,Inputs!$B$11*Inputs!$B$12*8760*(1-Inputs!$B$13)^C20*Inputs!$B$14*(1-Inputs!$B$15))</f>
        <v>216742.690614411</v>
      </c>
      <c r="E20" s="17" t="n">
        <f aca="false">IF(A20&lt;=Inputs!$B$34,0,IF(A20&lt;=Inputs!$B$34+Inputs!$B$6,0,D20*Inputs!$B$31/1000000))</f>
        <v>15.6054737242376</v>
      </c>
      <c r="F20" s="17" t="n">
        <f aca="false">IF(A20&lt;=Inputs!$B$34,0,IF(A20&lt;=Inputs!$B$34+Inputs!$B$6,Inputs!$B$20,Inputs!$B$19+Inputs!$B$20+Inputs!$B$33*E20))</f>
        <v>4.32208210586356</v>
      </c>
      <c r="G20" s="17" t="n">
        <f aca="false">E20-F20</f>
        <v>11.283391618374</v>
      </c>
      <c r="H20" s="11" t="n">
        <f aca="false">IF(AND(A20&gt;Inputs!$B$34,A20&lt;=Inputs!$B$34+Inputs!$B$25),Capitalization!B$12,0)</f>
        <v>9.06397189185185</v>
      </c>
      <c r="I20" s="17" t="n">
        <f aca="false">G20-H20</f>
        <v>2.21941972652216</v>
      </c>
      <c r="J20" s="22" t="n">
        <f aca="false">IF(A20&lt;=Inputs!$B$34,"",IF(AND(A20&lt;=Inputs!$B$36,Capitalization!B$18&gt;0),Inputs!$B$38,Inputs!$B$39))</f>
        <v>0.975</v>
      </c>
      <c r="K20" s="17" t="n">
        <f aca="false">IF(A20=0,-Capitalization!B$19,IF(A20&lt;=Inputs!$B$34,0,I20*J20-IF(AND(A20=Inputs!$B$36,Capitalization!B$18&gt;0),Inputs!$B$37,0)))</f>
        <v>2.1639342333591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IF(A21=0,"Equity",IF(A21&lt;=Inputs!$B$34,"Construction",IF(A21&lt;=Inputs!$B$34+Inputs!$B$6,"Queue wait","Grid ops")))</f>
        <v>Grid ops</v>
      </c>
      <c r="C21" s="4" t="n">
        <f aca="false">IF(A21&lt;=Inputs!$B$34,"",A21-Inputs!$B$34-1)</f>
        <v>13</v>
      </c>
      <c r="D21" s="18" t="n">
        <f aca="false">IF(A21&lt;=Inputs!$B$34,0,Inputs!$B$11*Inputs!$B$12*8760*(1-Inputs!$B$13)^C21*Inputs!$B$14*(1-Inputs!$B$15))</f>
        <v>215658.977161339</v>
      </c>
      <c r="E21" s="17" t="n">
        <f aca="false">IF(A21&lt;=Inputs!$B$34,0,IF(A21&lt;=Inputs!$B$34+Inputs!$B$6,0,D21*Inputs!$B$31/1000000))</f>
        <v>15.5274463556164</v>
      </c>
      <c r="F21" s="17" t="n">
        <f aca="false">IF(A21&lt;=Inputs!$B$34,0,IF(A21&lt;=Inputs!$B$34+Inputs!$B$6,Inputs!$B$20,Inputs!$B$19+Inputs!$B$20+Inputs!$B$33*E21))</f>
        <v>4.32091169533425</v>
      </c>
      <c r="G21" s="17" t="n">
        <f aca="false">E21-F21</f>
        <v>11.2065346602821</v>
      </c>
      <c r="H21" s="11" t="n">
        <f aca="false">IF(AND(A21&gt;Inputs!$B$34,A21&lt;=Inputs!$B$34+Inputs!$B$25),Capitalization!B$12,0)</f>
        <v>9.06397189185185</v>
      </c>
      <c r="I21" s="17" t="n">
        <f aca="false">G21-H21</f>
        <v>2.14256276843029</v>
      </c>
      <c r="J21" s="22" t="n">
        <f aca="false">IF(A21&lt;=Inputs!$B$34,"",IF(AND(A21&lt;=Inputs!$B$36,Capitalization!B$18&gt;0),Inputs!$B$38,Inputs!$B$39))</f>
        <v>0.975</v>
      </c>
      <c r="K21" s="17" t="n">
        <f aca="false">IF(A21=0,-Capitalization!B$19,IF(A21&lt;=Inputs!$B$34,0,I21*J21-IF(AND(A21=Inputs!$B$36,Capitalization!B$18&gt;0),Inputs!$B$37,0)))</f>
        <v>2.08899869921953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IF(A22=0,"Equity",IF(A22&lt;=Inputs!$B$34,"Construction",IF(A22&lt;=Inputs!$B$34+Inputs!$B$6,"Queue wait","Grid ops")))</f>
        <v>Grid ops</v>
      </c>
      <c r="C22" s="4" t="n">
        <f aca="false">IF(A22&lt;=Inputs!$B$34,"",A22-Inputs!$B$34-1)</f>
        <v>14</v>
      </c>
      <c r="D22" s="18" t="n">
        <f aca="false">IF(A22&lt;=Inputs!$B$34,0,Inputs!$B$11*Inputs!$B$12*8760*(1-Inputs!$B$13)^C22*Inputs!$B$14*(1-Inputs!$B$15))</f>
        <v>214580.682275532</v>
      </c>
      <c r="E22" s="17" t="n">
        <f aca="false">IF(A22&lt;=Inputs!$B$34,0,IF(A22&lt;=Inputs!$B$34+Inputs!$B$6,0,D22*Inputs!$B$31/1000000))</f>
        <v>15.4498091238383</v>
      </c>
      <c r="F22" s="17" t="n">
        <f aca="false">IF(A22&lt;=Inputs!$B$34,0,IF(A22&lt;=Inputs!$B$34+Inputs!$B$6,Inputs!$B$20,Inputs!$B$19+Inputs!$B$20+Inputs!$B$33*E22))</f>
        <v>4.31974713685758</v>
      </c>
      <c r="G22" s="17" t="n">
        <f aca="false">E22-F22</f>
        <v>11.1300619869807</v>
      </c>
      <c r="H22" s="11" t="n">
        <f aca="false">IF(AND(A22&gt;Inputs!$B$34,A22&lt;=Inputs!$B$34+Inputs!$B$25),Capitalization!B$12,0)</f>
        <v>9.06397189185185</v>
      </c>
      <c r="I22" s="17" t="n">
        <f aca="false">G22-H22</f>
        <v>2.06609009512888</v>
      </c>
      <c r="J22" s="22" t="n">
        <f aca="false">IF(A22&lt;=Inputs!$B$34,"",IF(AND(A22&lt;=Inputs!$B$36,Capitalization!B$18&gt;0),Inputs!$B$38,Inputs!$B$39))</f>
        <v>0.975</v>
      </c>
      <c r="K22" s="17" t="n">
        <f aca="false">IF(A22=0,-Capitalization!B$19,IF(A22&lt;=Inputs!$B$34,0,I22*J22-IF(AND(A22=Inputs!$B$36,Capitalization!B$18&gt;0),Inputs!$B$37,0)))</f>
        <v>2.01443784275066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IF(A23=0,"Equity",IF(A23&lt;=Inputs!$B$34,"Construction",IF(A23&lt;=Inputs!$B$34+Inputs!$B$6,"Queue wait","Grid ops")))</f>
        <v>Grid ops</v>
      </c>
      <c r="C23" s="4" t="n">
        <f aca="false">IF(A23&lt;=Inputs!$B$34,"",A23-Inputs!$B$34-1)</f>
        <v>15</v>
      </c>
      <c r="D23" s="18" t="n">
        <f aca="false">IF(A23&lt;=Inputs!$B$34,0,Inputs!$B$11*Inputs!$B$12*8760*(1-Inputs!$B$13)^C23*Inputs!$B$14*(1-Inputs!$B$15))</f>
        <v>213507.778864154</v>
      </c>
      <c r="E23" s="17" t="n">
        <f aca="false">IF(A23&lt;=Inputs!$B$34,0,IF(A23&lt;=Inputs!$B$34+Inputs!$B$6,0,D23*Inputs!$B$31/1000000))</f>
        <v>15.3725600782191</v>
      </c>
      <c r="F23" s="17" t="n">
        <f aca="false">IF(A23&lt;=Inputs!$B$34,0,IF(A23&lt;=Inputs!$B$34+Inputs!$B$6,Inputs!$B$20,Inputs!$B$19+Inputs!$B$20+Inputs!$B$33*E23))</f>
        <v>4.31858840117329</v>
      </c>
      <c r="G23" s="17" t="n">
        <f aca="false">E23-F23</f>
        <v>11.0539716770458</v>
      </c>
      <c r="H23" s="11" t="n">
        <f aca="false">IF(AND(A23&gt;Inputs!$B$34,A23&lt;=Inputs!$B$34+Inputs!$B$25),Capitalization!B$12,0)</f>
        <v>9.06397189185185</v>
      </c>
      <c r="I23" s="17" t="n">
        <f aca="false">G23-H23</f>
        <v>1.98999978519397</v>
      </c>
      <c r="J23" s="22" t="n">
        <f aca="false">IF(A23&lt;=Inputs!$B$34,"",IF(AND(A23&lt;=Inputs!$B$36,Capitalization!B$18&gt;0),Inputs!$B$38,Inputs!$B$39))</f>
        <v>0.975</v>
      </c>
      <c r="K23" s="17" t="n">
        <f aca="false">IF(A23=0,-Capitalization!B$19,IF(A23&lt;=Inputs!$B$34,0,I23*J23-IF(AND(A23=Inputs!$B$36,Capitalization!B$18&gt;0),Inputs!$B$37,0)))</f>
        <v>1.94024979056412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IF(A24=0,"Equity",IF(A24&lt;=Inputs!$B$34,"Construction",IF(A24&lt;=Inputs!$B$34+Inputs!$B$6,"Queue wait","Grid ops")))</f>
        <v>Grid ops</v>
      </c>
      <c r="C24" s="4" t="n">
        <f aca="false">IF(A24&lt;=Inputs!$B$34,"",A24-Inputs!$B$34-1)</f>
        <v>16</v>
      </c>
      <c r="D24" s="18" t="n">
        <f aca="false">IF(A24&lt;=Inputs!$B$34,0,Inputs!$B$11*Inputs!$B$12*8760*(1-Inputs!$B$13)^C24*Inputs!$B$14*(1-Inputs!$B$15))</f>
        <v>212440.239969834</v>
      </c>
      <c r="E24" s="17" t="n">
        <f aca="false">IF(A24&lt;=Inputs!$B$34,0,IF(A24&lt;=Inputs!$B$34+Inputs!$B$6,0,D24*Inputs!$B$31/1000000))</f>
        <v>15.295697277828</v>
      </c>
      <c r="F24" s="17" t="n">
        <f aca="false">IF(A24&lt;=Inputs!$B$34,0,IF(A24&lt;=Inputs!$B$34+Inputs!$B$6,Inputs!$B$20,Inputs!$B$19+Inputs!$B$20+Inputs!$B$33*E24))</f>
        <v>4.31743545916742</v>
      </c>
      <c r="G24" s="17" t="n">
        <f aca="false">E24-F24</f>
        <v>10.9782618186606</v>
      </c>
      <c r="H24" s="11" t="n">
        <f aca="false">IF(AND(A24&gt;Inputs!$B$34,A24&lt;=Inputs!$B$34+Inputs!$B$25),Capitalization!B$12,0)</f>
        <v>9.06397189185185</v>
      </c>
      <c r="I24" s="17" t="n">
        <f aca="false">G24-H24</f>
        <v>1.91428992680874</v>
      </c>
      <c r="J24" s="22" t="n">
        <f aca="false">IF(A24&lt;=Inputs!$B$34,"",IF(AND(A24&lt;=Inputs!$B$36,Capitalization!B$18&gt;0),Inputs!$B$38,Inputs!$B$39))</f>
        <v>0.975</v>
      </c>
      <c r="K24" s="17" t="n">
        <f aca="false">IF(A24=0,-Capitalization!B$19,IF(A24&lt;=Inputs!$B$34,0,I24*J24-IF(AND(A24=Inputs!$B$36,Capitalization!B$18&gt;0),Inputs!$B$37,0)))</f>
        <v>1.86643267863852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IF(A25=0,"Equity",IF(A25&lt;=Inputs!$B$34,"Construction",IF(A25&lt;=Inputs!$B$34+Inputs!$B$6,"Queue wait","Grid ops")))</f>
        <v>Grid ops</v>
      </c>
      <c r="C25" s="4" t="n">
        <f aca="false">IF(A25&lt;=Inputs!$B$34,"",A25-Inputs!$B$34-1)</f>
        <v>17</v>
      </c>
      <c r="D25" s="18" t="n">
        <f aca="false">IF(A25&lt;=Inputs!$B$34,0,Inputs!$B$11*Inputs!$B$12*8760*(1-Inputs!$B$13)^C25*Inputs!$B$14*(1-Inputs!$B$15))</f>
        <v>211378.038769984</v>
      </c>
      <c r="E25" s="17" t="n">
        <f aca="false">IF(A25&lt;=Inputs!$B$34,0,IF(A25&lt;=Inputs!$B$34+Inputs!$B$6,0,D25*Inputs!$B$31/1000000))</f>
        <v>15.2192187914389</v>
      </c>
      <c r="F25" s="17" t="n">
        <f aca="false">IF(A25&lt;=Inputs!$B$34,0,IF(A25&lt;=Inputs!$B$34+Inputs!$B$6,Inputs!$B$20,Inputs!$B$19+Inputs!$B$20+Inputs!$B$33*E25))</f>
        <v>4.31628828187158</v>
      </c>
      <c r="G25" s="17" t="n">
        <f aca="false">E25-F25</f>
        <v>10.9029305095673</v>
      </c>
      <c r="H25" s="11" t="n">
        <f aca="false">IF(AND(A25&gt;Inputs!$B$34,A25&lt;=Inputs!$B$34+Inputs!$B$25),Capitalization!B$12,0)</f>
        <v>9.06397189185185</v>
      </c>
      <c r="I25" s="17" t="n">
        <f aca="false">G25-H25</f>
        <v>1.83895861771544</v>
      </c>
      <c r="J25" s="22" t="n">
        <f aca="false">IF(A25&lt;=Inputs!$B$34,"",IF(AND(A25&lt;=Inputs!$B$36,Capitalization!B$18&gt;0),Inputs!$B$38,Inputs!$B$39))</f>
        <v>0.975</v>
      </c>
      <c r="K25" s="17" t="n">
        <f aca="false">IF(A25=0,-Capitalization!B$19,IF(A25&lt;=Inputs!$B$34,0,I25*J25-IF(AND(A25=Inputs!$B$36,Capitalization!B$18&gt;0),Inputs!$B$37,0)))</f>
        <v>1.79298465227255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IF(A26=0,"Equity",IF(A26&lt;=Inputs!$B$34,"Construction",IF(A26&lt;=Inputs!$B$34+Inputs!$B$6,"Queue wait","Grid ops")))</f>
        <v>Grid ops</v>
      </c>
      <c r="C26" s="4" t="n">
        <f aca="false">IF(A26&lt;=Inputs!$B$34,"",A26-Inputs!$B$34-1)</f>
        <v>18</v>
      </c>
      <c r="D26" s="18" t="n">
        <f aca="false">IF(A26&lt;=Inputs!$B$34,0,Inputs!$B$11*Inputs!$B$12*8760*(1-Inputs!$B$13)^C26*Inputs!$B$14*(1-Inputs!$B$15))</f>
        <v>210321.148576134</v>
      </c>
      <c r="E26" s="17" t="n">
        <f aca="false">IF(A26&lt;=Inputs!$B$34,0,IF(A26&lt;=Inputs!$B$34+Inputs!$B$6,0,D26*Inputs!$B$31/1000000))</f>
        <v>15.1431226974817</v>
      </c>
      <c r="F26" s="17" t="n">
        <f aca="false">IF(A26&lt;=Inputs!$B$34,0,IF(A26&lt;=Inputs!$B$34+Inputs!$B$6,Inputs!$B$20,Inputs!$B$19+Inputs!$B$20+Inputs!$B$33*E26))</f>
        <v>4.31514684046223</v>
      </c>
      <c r="G26" s="17" t="n">
        <f aca="false">E26-F26</f>
        <v>10.8279758570195</v>
      </c>
      <c r="H26" s="11" t="n">
        <f aca="false">IF(AND(A26&gt;Inputs!$B$34,A26&lt;=Inputs!$B$34+Inputs!$B$25),Capitalization!B$12,0)</f>
        <v>9.06397189185185</v>
      </c>
      <c r="I26" s="17" t="n">
        <f aca="false">G26-H26</f>
        <v>1.7640039651676</v>
      </c>
      <c r="J26" s="22" t="n">
        <f aca="false">IF(A26&lt;=Inputs!$B$34,"",IF(AND(A26&lt;=Inputs!$B$36,Capitalization!B$18&gt;0),Inputs!$B$38,Inputs!$B$39))</f>
        <v>0.975</v>
      </c>
      <c r="K26" s="17" t="n">
        <f aca="false">IF(A26=0,-Capitalization!B$19,IF(A26&lt;=Inputs!$B$34,0,I26*J26-IF(AND(A26=Inputs!$B$36,Capitalization!B$18&gt;0),Inputs!$B$37,0)))</f>
        <v>1.71990386603841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IF(A27=0,"Equity",IF(A27&lt;=Inputs!$B$34,"Construction",IF(A27&lt;=Inputs!$B$34+Inputs!$B$6,"Queue wait","Grid ops")))</f>
        <v>Grid ops</v>
      </c>
      <c r="C27" s="4" t="n">
        <f aca="false">IF(A27&lt;=Inputs!$B$34,"",A27-Inputs!$B$34-1)</f>
        <v>19</v>
      </c>
      <c r="D27" s="18" t="n">
        <f aca="false">IF(A27&lt;=Inputs!$B$34,0,Inputs!$B$11*Inputs!$B$12*8760*(1-Inputs!$B$13)^C27*Inputs!$B$14*(1-Inputs!$B$15))</f>
        <v>209269.542833254</v>
      </c>
      <c r="E27" s="17" t="n">
        <f aca="false">IF(A27&lt;=Inputs!$B$34,0,IF(A27&lt;=Inputs!$B$34+Inputs!$B$6,0,D27*Inputs!$B$31/1000000))</f>
        <v>15.0674070839943</v>
      </c>
      <c r="F27" s="17" t="n">
        <f aca="false">IF(A27&lt;=Inputs!$B$34,0,IF(A27&lt;=Inputs!$B$34+Inputs!$B$6,Inputs!$B$20,Inputs!$B$19+Inputs!$B$20+Inputs!$B$33*E27))</f>
        <v>4.31401110625991</v>
      </c>
      <c r="G27" s="17" t="n">
        <f aca="false">E27-F27</f>
        <v>10.7533959777344</v>
      </c>
      <c r="H27" s="11" t="n">
        <f aca="false">IF(AND(A27&gt;Inputs!$B$34,A27&lt;=Inputs!$B$34+Inputs!$B$25),Capitalization!B$12,0)</f>
        <v>9.06397189185185</v>
      </c>
      <c r="I27" s="17" t="n">
        <f aca="false">G27-H27</f>
        <v>1.6894240858825</v>
      </c>
      <c r="J27" s="22" t="n">
        <f aca="false">IF(A27&lt;=Inputs!$B$34,"",IF(AND(A27&lt;=Inputs!$B$36,Capitalization!B$18&gt;0),Inputs!$B$38,Inputs!$B$39))</f>
        <v>0.975</v>
      </c>
      <c r="K27" s="17" t="n">
        <f aca="false">IF(A27=0,-Capitalization!B$19,IF(A27&lt;=Inputs!$B$34,0,I27*J27-IF(AND(A27=Inputs!$B$36,Capitalization!B$18&gt;0),Inputs!$B$37,0)))</f>
        <v>1.64718848373544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IF(A28=0,"Equity",IF(A28&lt;=Inputs!$B$34,"Construction",IF(A28&lt;=Inputs!$B$34+Inputs!$B$6,"Queue wait","Grid ops")))</f>
        <v>Grid ops</v>
      </c>
      <c r="C28" s="4" t="n">
        <f aca="false">IF(A28&lt;=Inputs!$B$34,"",A28-Inputs!$B$34-1)</f>
        <v>20</v>
      </c>
      <c r="D28" s="18" t="n">
        <f aca="false">IF(A28&lt;=Inputs!$B$34,0,Inputs!$B$11*Inputs!$B$12*8760*(1-Inputs!$B$13)^C28*Inputs!$B$14*(1-Inputs!$B$15))</f>
        <v>208223.195119087</v>
      </c>
      <c r="E28" s="17" t="n">
        <f aca="false">IF(A28&lt;=Inputs!$B$34,0,IF(A28&lt;=Inputs!$B$34+Inputs!$B$6,0,D28*Inputs!$B$31/1000000))</f>
        <v>14.9920700485743</v>
      </c>
      <c r="F28" s="17" t="n">
        <f aca="false">IF(A28&lt;=Inputs!$B$34,0,IF(A28&lt;=Inputs!$B$34+Inputs!$B$6,Inputs!$B$20,Inputs!$B$19+Inputs!$B$20+Inputs!$B$33*E28))</f>
        <v>4.31288105072861</v>
      </c>
      <c r="G28" s="17" t="n">
        <f aca="false">E28-F28</f>
        <v>10.6791889978457</v>
      </c>
      <c r="H28" s="11" t="n">
        <f aca="false">IF(AND(A28&gt;Inputs!$B$34,A28&lt;=Inputs!$B$34+Inputs!$B$25),Capitalization!B$12,0)</f>
        <v>0</v>
      </c>
      <c r="I28" s="17" t="n">
        <f aca="false">G28-H28</f>
        <v>10.6791889978457</v>
      </c>
      <c r="J28" s="22" t="n">
        <f aca="false">IF(A28&lt;=Inputs!$B$34,"",IF(AND(A28&lt;=Inputs!$B$36,Capitalization!B$18&gt;0),Inputs!$B$38,Inputs!$B$39))</f>
        <v>0.975</v>
      </c>
      <c r="K28" s="17" t="n">
        <f aca="false">IF(A28=0,-Capitalization!B$19,IF(A28&lt;=Inputs!$B$34,0,I28*J28-IF(AND(A28=Inputs!$B$36,Capitalization!B$18&gt;0),Inputs!$B$37,0)))</f>
        <v>10.4122092728995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IF(A29=0,"Equity",IF(A29&lt;=Inputs!$B$34,"Construction",IF(A29&lt;=Inputs!$B$34+Inputs!$B$6,"Queue wait","Grid ops")))</f>
        <v>Grid ops</v>
      </c>
      <c r="C29" s="4" t="n">
        <f aca="false">IF(A29&lt;=Inputs!$B$34,"",A29-Inputs!$B$34-1)</f>
        <v>21</v>
      </c>
      <c r="D29" s="18" t="n">
        <f aca="false">IF(A29&lt;=Inputs!$B$34,0,Inputs!$B$11*Inputs!$B$12*8760*(1-Inputs!$B$13)^C29*Inputs!$B$14*(1-Inputs!$B$15))</f>
        <v>207182.079143492</v>
      </c>
      <c r="E29" s="17" t="n">
        <f aca="false">IF(A29&lt;=Inputs!$B$34,0,IF(A29&lt;=Inputs!$B$34+Inputs!$B$6,0,D29*Inputs!$B$31/1000000))</f>
        <v>14.9171096983314</v>
      </c>
      <c r="F29" s="17" t="n">
        <f aca="false">IF(A29&lt;=Inputs!$B$34,0,IF(A29&lt;=Inputs!$B$34+Inputs!$B$6,Inputs!$B$20,Inputs!$B$19+Inputs!$B$20+Inputs!$B$33*E29))</f>
        <v>4.31175664547497</v>
      </c>
      <c r="G29" s="17" t="n">
        <f aca="false">E29-F29</f>
        <v>10.6053530528565</v>
      </c>
      <c r="H29" s="11" t="n">
        <f aca="false">IF(AND(A29&gt;Inputs!$B$34,A29&lt;=Inputs!$B$34+Inputs!$B$25),Capitalization!B$12,0)</f>
        <v>0</v>
      </c>
      <c r="I29" s="17" t="n">
        <f aca="false">G29-H29</f>
        <v>10.6053530528565</v>
      </c>
      <c r="J29" s="22" t="n">
        <f aca="false">IF(A29&lt;=Inputs!$B$34,"",IF(AND(A29&lt;=Inputs!$B$36,Capitalization!B$18&gt;0),Inputs!$B$38,Inputs!$B$39))</f>
        <v>0.975</v>
      </c>
      <c r="K29" s="17" t="n">
        <f aca="false">IF(A29=0,-Capitalization!B$19,IF(A29&lt;=Inputs!$B$34,0,I29*J29-IF(AND(A29=Inputs!$B$36,Capitalization!B$18&gt;0),Inputs!$B$37,0)))</f>
        <v>10.340219226535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IF(A30=0,"Equity",IF(A30&lt;=Inputs!$B$34,"Construction",IF(A30&lt;=Inputs!$B$34+Inputs!$B$6,"Queue wait","Grid ops")))</f>
        <v>Grid ops</v>
      </c>
      <c r="C30" s="4" t="n">
        <f aca="false">IF(A30&lt;=Inputs!$B$34,"",A30-Inputs!$B$34-1)</f>
        <v>22</v>
      </c>
      <c r="D30" s="18" t="n">
        <f aca="false">IF(A30&lt;=Inputs!$B$34,0,Inputs!$B$11*Inputs!$B$12*8760*(1-Inputs!$B$13)^C30*Inputs!$B$14*(1-Inputs!$B$15))</f>
        <v>206146.168747775</v>
      </c>
      <c r="E30" s="17" t="n">
        <f aca="false">IF(A30&lt;=Inputs!$B$34,0,IF(A30&lt;=Inputs!$B$34+Inputs!$B$6,0,D30*Inputs!$B$31/1000000))</f>
        <v>14.8425241498398</v>
      </c>
      <c r="F30" s="17" t="n">
        <f aca="false">IF(A30&lt;=Inputs!$B$34,0,IF(A30&lt;=Inputs!$B$34+Inputs!$B$6,Inputs!$B$20,Inputs!$B$19+Inputs!$B$20+Inputs!$B$33*E30))</f>
        <v>4.3106378622476</v>
      </c>
      <c r="G30" s="17" t="n">
        <f aca="false">E30-F30</f>
        <v>10.5318862875922</v>
      </c>
      <c r="H30" s="11" t="n">
        <f aca="false">IF(AND(A30&gt;Inputs!$B$34,A30&lt;=Inputs!$B$34+Inputs!$B$25),Capitalization!B$12,0)</f>
        <v>0</v>
      </c>
      <c r="I30" s="17" t="n">
        <f aca="false">G30-H30</f>
        <v>10.5318862875922</v>
      </c>
      <c r="J30" s="22" t="n">
        <f aca="false">IF(A30&lt;=Inputs!$B$34,"",IF(AND(A30&lt;=Inputs!$B$36,Capitalization!B$18&gt;0),Inputs!$B$38,Inputs!$B$39))</f>
        <v>0.975</v>
      </c>
      <c r="K30" s="17" t="n">
        <f aca="false">IF(A30=0,-Capitalization!B$19,IF(A30&lt;=Inputs!$B$34,0,I30*J30-IF(AND(A30=Inputs!$B$36,Capitalization!B$18&gt;0),Inputs!$B$37,0)))</f>
        <v>10.2685891304024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IF(A31=0,"Equity",IF(A31&lt;=Inputs!$B$34,"Construction",IF(A31&lt;=Inputs!$B$34+Inputs!$B$6,"Queue wait","Grid ops")))</f>
        <v>Grid ops</v>
      </c>
      <c r="C31" s="4" t="n">
        <f aca="false">IF(A31&lt;=Inputs!$B$34,"",A31-Inputs!$B$34-1)</f>
        <v>23</v>
      </c>
      <c r="D31" s="18" t="n">
        <f aca="false">IF(A31&lt;=Inputs!$B$34,0,Inputs!$B$11*Inputs!$B$12*8760*(1-Inputs!$B$13)^C31*Inputs!$B$14*(1-Inputs!$B$15))</f>
        <v>205115.437904036</v>
      </c>
      <c r="E31" s="17" t="n">
        <f aca="false">IF(A31&lt;=Inputs!$B$34,0,IF(A31&lt;=Inputs!$B$34+Inputs!$B$6,0,D31*Inputs!$B$31/1000000))</f>
        <v>14.7683115290906</v>
      </c>
      <c r="F31" s="17" t="n">
        <f aca="false">IF(A31&lt;=Inputs!$B$34,0,IF(A31&lt;=Inputs!$B$34+Inputs!$B$6,Inputs!$B$20,Inputs!$B$19+Inputs!$B$20+Inputs!$B$33*E31))</f>
        <v>4.30952467293636</v>
      </c>
      <c r="G31" s="17" t="n">
        <f aca="false">E31-F31</f>
        <v>10.4587868561542</v>
      </c>
      <c r="H31" s="11" t="n">
        <f aca="false">IF(AND(A31&gt;Inputs!$B$34,A31&lt;=Inputs!$B$34+Inputs!$B$25),Capitalization!B$12,0)</f>
        <v>0</v>
      </c>
      <c r="I31" s="17" t="n">
        <f aca="false">G31-H31</f>
        <v>10.4587868561542</v>
      </c>
      <c r="J31" s="22" t="n">
        <f aca="false">IF(A31&lt;=Inputs!$B$34,"",IF(AND(A31&lt;=Inputs!$B$36,Capitalization!B$18&gt;0),Inputs!$B$38,Inputs!$B$39))</f>
        <v>0.975</v>
      </c>
      <c r="K31" s="17" t="n">
        <f aca="false">IF(A31=0,-Capitalization!B$19,IF(A31&lt;=Inputs!$B$34,0,I31*J31-IF(AND(A31=Inputs!$B$36,Capitalization!B$18&gt;0),Inputs!$B$37,0)))</f>
        <v>10.1973171847504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IF(A32=0,"Equity",IF(A32&lt;=Inputs!$B$34,"Construction",IF(A32&lt;=Inputs!$B$34+Inputs!$B$6,"Queue wait","Grid ops")))</f>
        <v>Grid ops</v>
      </c>
      <c r="C32" s="4" t="n">
        <f aca="false">IF(A32&lt;=Inputs!$B$34,"",A32-Inputs!$B$34-1)</f>
        <v>24</v>
      </c>
      <c r="D32" s="18" t="n">
        <f aca="false">IF(A32&lt;=Inputs!$B$34,0,Inputs!$B$11*Inputs!$B$12*8760*(1-Inputs!$B$13)^C32*Inputs!$B$14*(1-Inputs!$B$15))</f>
        <v>204089.860714516</v>
      </c>
      <c r="E32" s="17" t="n">
        <f aca="false">IF(A32&lt;=Inputs!$B$34,0,IF(A32&lt;=Inputs!$B$34+Inputs!$B$6,0,D32*Inputs!$B$31/1000000))</f>
        <v>14.6944699714451</v>
      </c>
      <c r="F32" s="17" t="n">
        <f aca="false">IF(A32&lt;=Inputs!$B$34,0,IF(A32&lt;=Inputs!$B$34+Inputs!$B$6,Inputs!$B$20,Inputs!$B$19+Inputs!$B$20+Inputs!$B$33*E32))</f>
        <v>4.30841704957168</v>
      </c>
      <c r="G32" s="17" t="n">
        <f aca="false">E32-F32</f>
        <v>10.3860529218734</v>
      </c>
      <c r="H32" s="11" t="n">
        <f aca="false">IF(AND(A32&gt;Inputs!$B$34,A32&lt;=Inputs!$B$34+Inputs!$B$25),Capitalization!B$12,0)</f>
        <v>0</v>
      </c>
      <c r="I32" s="17" t="n">
        <f aca="false">G32-H32</f>
        <v>10.3860529218734</v>
      </c>
      <c r="J32" s="22" t="n">
        <f aca="false">IF(A32&lt;=Inputs!$B$34,"",IF(AND(A32&lt;=Inputs!$B$36,Capitalization!B$18&gt;0),Inputs!$B$38,Inputs!$B$39))</f>
        <v>0.975</v>
      </c>
      <c r="K32" s="17" t="n">
        <f aca="false">IF(A32=0,-Capitalization!B$19,IF(A32&lt;=Inputs!$B$34,0,I32*J32-IF(AND(A32=Inputs!$B$36,Capitalization!B$18&gt;0),Inputs!$B$37,0)))</f>
        <v>10.1264015988266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11" min="4" style="0" width="13"/>
  </cols>
  <sheetData>
    <row r="1" customFormat="false" ht="16.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16" t="s">
        <v>102</v>
      </c>
      <c r="B2" s="20" t="n">
        <f aca="false">IRR(K5:K32)</f>
        <v>0.0424668877002928</v>
      </c>
    </row>
    <row r="4" customFormat="false" ht="26.85" hidden="false" customHeight="false" outlineLevel="0" collapsed="false">
      <c r="A4" s="21" t="s">
        <v>103</v>
      </c>
      <c r="B4" s="21" t="s">
        <v>104</v>
      </c>
      <c r="C4" s="21" t="s">
        <v>105</v>
      </c>
      <c r="D4" s="21" t="s">
        <v>106</v>
      </c>
      <c r="E4" s="21" t="s">
        <v>107</v>
      </c>
      <c r="F4" s="21" t="s">
        <v>108</v>
      </c>
      <c r="G4" s="21" t="s">
        <v>109</v>
      </c>
      <c r="H4" s="21" t="s">
        <v>110</v>
      </c>
      <c r="I4" s="21" t="s">
        <v>111</v>
      </c>
      <c r="J4" s="21" t="s">
        <v>112</v>
      </c>
      <c r="K4" s="21" t="s">
        <v>113</v>
      </c>
    </row>
    <row r="5" customFormat="false" ht="15" hidden="false" customHeight="false" outlineLevel="0" collapsed="false">
      <c r="A5" s="4" t="n">
        <v>0</v>
      </c>
      <c r="B5" s="4" t="str">
        <f aca="false">IF(A5=0,"Equity",IF(A5&lt;=Inputs!$B$34,"Construction",IF(A5&lt;=Inputs!$B$34+Inputs!$B$6,"Queue wait","Grid ops")))</f>
        <v>Equity</v>
      </c>
      <c r="C5" s="4" t="str">
        <f aca="false">IF(A5&lt;=Inputs!$B$34,"",A5-Inputs!$B$34-1)</f>
        <v/>
      </c>
      <c r="D5" s="18" t="n">
        <f aca="false">IF(A5&lt;=Inputs!$B$34,0,Inputs!$B$11*Inputs!$B$12*8760*(1-Inputs!$B$13)^C5*Inputs!$B$14*(1-Inputs!$B$15))</f>
        <v>0</v>
      </c>
      <c r="E5" s="17" t="n">
        <f aca="false">IF(A5&lt;=Inputs!$B$34,0,IF(A5&lt;=Inputs!$B$34+Inputs!$B$6,D5*(1-Inputs!$B$23)*Inputs!$B$32/1000000,D5*Inputs!$B$31/1000000))</f>
        <v>0</v>
      </c>
      <c r="F5" s="17" t="n">
        <f aca="false">IF(A5&lt;=Inputs!$B$34,0,Inputs!$B$19+Inputs!$B$20+Inputs!$B$21+Inputs!$B$33*E5)</f>
        <v>0</v>
      </c>
      <c r="G5" s="17" t="n">
        <f aca="false">E5-F5</f>
        <v>0</v>
      </c>
      <c r="H5" s="11" t="n">
        <f aca="false">IF(AND(A5&gt;Inputs!$B$34,A5&lt;=Inputs!$B$34+Inputs!$B$25),Capitalization!C$12,0)</f>
        <v>0</v>
      </c>
      <c r="I5" s="17" t="n">
        <f aca="false">G5-H5</f>
        <v>0</v>
      </c>
      <c r="J5" s="22" t="str">
        <f aca="false">IF(A5&lt;=Inputs!$B$34,"",IF(AND(A5&lt;=Inputs!$B$36,Capitalization!C$18&gt;0),Inputs!$B$38,Inputs!$B$39))</f>
        <v/>
      </c>
      <c r="K5" s="17" t="n">
        <f aca="false">IF(A5=0,-Capitalization!C$19,IF(A5&lt;=Inputs!$B$34,0,I5*J5-IF(AND(A5=Inputs!$B$36,Capitalization!C$18&gt;0),Inputs!$B$37,0)))</f>
        <v>-33.7495664923093</v>
      </c>
    </row>
    <row r="6" customFormat="false" ht="15" hidden="false" customHeight="false" outlineLevel="0" collapsed="false">
      <c r="A6" s="4" t="n">
        <v>1</v>
      </c>
      <c r="B6" s="4" t="str">
        <f aca="false">IF(A6=0,"Equity",IF(A6&lt;=Inputs!$B$34,"Construction",IF(A6&lt;=Inputs!$B$34+Inputs!$B$6,"Queue wait","Grid ops")))</f>
        <v>Construction</v>
      </c>
      <c r="C6" s="4" t="str">
        <f aca="false">IF(A6&lt;=Inputs!$B$34,"",A6-Inputs!$B$34-1)</f>
        <v/>
      </c>
      <c r="D6" s="18" t="n">
        <f aca="false">IF(A6&lt;=Inputs!$B$34,0,Inputs!$B$11*Inputs!$B$12*8760*(1-Inputs!$B$13)^C6*Inputs!$B$14*(1-Inputs!$B$15))</f>
        <v>0</v>
      </c>
      <c r="E6" s="17" t="n">
        <f aca="false">IF(A6&lt;=Inputs!$B$34,0,IF(A6&lt;=Inputs!$B$34+Inputs!$B$6,D6*(1-Inputs!$B$23)*Inputs!$B$32/1000000,D6*Inputs!$B$31/1000000))</f>
        <v>0</v>
      </c>
      <c r="F6" s="17" t="n">
        <f aca="false">IF(A6&lt;=Inputs!$B$34,0,Inputs!$B$19+Inputs!$B$20+Inputs!$B$21+Inputs!$B$33*E6)</f>
        <v>0</v>
      </c>
      <c r="G6" s="17" t="n">
        <f aca="false">E6-F6</f>
        <v>0</v>
      </c>
      <c r="H6" s="11" t="n">
        <f aca="false">IF(AND(A6&gt;Inputs!$B$34,A6&lt;=Inputs!$B$34+Inputs!$B$25),Capitalization!C$12,0)</f>
        <v>0</v>
      </c>
      <c r="I6" s="17" t="n">
        <f aca="false">G6-H6</f>
        <v>0</v>
      </c>
      <c r="J6" s="22" t="str">
        <f aca="false">IF(A6&lt;=Inputs!$B$34,"",IF(AND(A6&lt;=Inputs!$B$36,Capitalization!C$18&gt;0),Inputs!$B$38,Inputs!$B$39))</f>
        <v/>
      </c>
      <c r="K6" s="17" t="n">
        <f aca="false">IF(A6=0,-Capitalization!C$19,IF(A6&lt;=Inputs!$B$34,0,I6*J6-IF(AND(A6=Inputs!$B$36,Capitalization!C$18&gt;0),Inputs!$B$37,0)))</f>
        <v>0</v>
      </c>
    </row>
    <row r="7" customFormat="false" ht="15" hidden="false" customHeight="false" outlineLevel="0" collapsed="false">
      <c r="A7" s="4" t="n">
        <v>2</v>
      </c>
      <c r="B7" s="4" t="str">
        <f aca="false">IF(A7=0,"Equity",IF(A7&lt;=Inputs!$B$34,"Construction",IF(A7&lt;=Inputs!$B$34+Inputs!$B$6,"Queue wait","Grid ops")))</f>
        <v>Construction</v>
      </c>
      <c r="C7" s="4" t="str">
        <f aca="false">IF(A7&lt;=Inputs!$B$34,"",A7-Inputs!$B$34-1)</f>
        <v/>
      </c>
      <c r="D7" s="18" t="n">
        <f aca="false">IF(A7&lt;=Inputs!$B$34,0,Inputs!$B$11*Inputs!$B$12*8760*(1-Inputs!$B$13)^C7*Inputs!$B$14*(1-Inputs!$B$15))</f>
        <v>0</v>
      </c>
      <c r="E7" s="17" t="n">
        <f aca="false">IF(A7&lt;=Inputs!$B$34,0,IF(A7&lt;=Inputs!$B$34+Inputs!$B$6,D7*(1-Inputs!$B$23)*Inputs!$B$32/1000000,D7*Inputs!$B$31/1000000))</f>
        <v>0</v>
      </c>
      <c r="F7" s="17" t="n">
        <f aca="false">IF(A7&lt;=Inputs!$B$34,0,Inputs!$B$19+Inputs!$B$20+Inputs!$B$21+Inputs!$B$33*E7)</f>
        <v>0</v>
      </c>
      <c r="G7" s="17" t="n">
        <f aca="false">E7-F7</f>
        <v>0</v>
      </c>
      <c r="H7" s="11" t="n">
        <f aca="false">IF(AND(A7&gt;Inputs!$B$34,A7&lt;=Inputs!$B$34+Inputs!$B$25),Capitalization!C$12,0)</f>
        <v>0</v>
      </c>
      <c r="I7" s="17" t="n">
        <f aca="false">G7-H7</f>
        <v>0</v>
      </c>
      <c r="J7" s="22" t="str">
        <f aca="false">IF(A7&lt;=Inputs!$B$34,"",IF(AND(A7&lt;=Inputs!$B$36,Capitalization!C$18&gt;0),Inputs!$B$38,Inputs!$B$39))</f>
        <v/>
      </c>
      <c r="K7" s="17" t="n">
        <f aca="false">IF(A7=0,-Capitalization!C$19,IF(A7&lt;=Inputs!$B$34,0,I7*J7-IF(AND(A7=Inputs!$B$36,Capitalization!C$18&gt;0),Inputs!$B$37,0)))</f>
        <v>0</v>
      </c>
    </row>
    <row r="8" customFormat="false" ht="15" hidden="false" customHeight="false" outlineLevel="0" collapsed="false">
      <c r="A8" s="4" t="n">
        <v>3</v>
      </c>
      <c r="B8" s="4" t="str">
        <f aca="false">IF(A8=0,"Equity",IF(A8&lt;=Inputs!$B$34,"Construction",IF(A8&lt;=Inputs!$B$34+Inputs!$B$6,"Queue wait","Grid ops")))</f>
        <v>Queue wait</v>
      </c>
      <c r="C8" s="4" t="n">
        <f aca="false">IF(A8&lt;=Inputs!$B$34,"",A8-Inputs!$B$34-1)</f>
        <v>0</v>
      </c>
      <c r="D8" s="18" t="n">
        <f aca="false">IF(A8&lt;=Inputs!$B$34,0,Inputs!$B$11*Inputs!$B$12*8760*(1-Inputs!$B$13)^C8*Inputs!$B$14*(1-Inputs!$B$15))</f>
        <v>230179.95</v>
      </c>
      <c r="E8" s="17" t="n">
        <f aca="false">IF(A8&lt;=Inputs!$B$34,0,IF(A8&lt;=Inputs!$B$34+Inputs!$B$6,D8*(1-Inputs!$B$23)*Inputs!$B$32/1000000,D8*Inputs!$B$31/1000000))</f>
        <v>13.67268903</v>
      </c>
      <c r="F8" s="17" t="n">
        <f aca="false">IF(A8&lt;=Inputs!$B$34,0,Inputs!$B$19+Inputs!$B$20+Inputs!$B$21+Inputs!$B$33*E8)</f>
        <v>5.04309033545</v>
      </c>
      <c r="G8" s="17" t="n">
        <f aca="false">E8-F8</f>
        <v>8.62959869455</v>
      </c>
      <c r="H8" s="11" t="n">
        <f aca="false">IF(AND(A8&gt;Inputs!$B$34,A8&lt;=Inputs!$B$34+Inputs!$B$25),Capitalization!C$12,0)</f>
        <v>8.50841633629629</v>
      </c>
      <c r="I8" s="17" t="n">
        <f aca="false">G8-H8</f>
        <v>0.121182358253707</v>
      </c>
      <c r="J8" s="22" t="n">
        <f aca="false">IF(A8&lt;=Inputs!$B$34,"",IF(AND(A8&lt;=Inputs!$B$36,Capitalization!C$18&gt;0),Inputs!$B$38,Inputs!$B$39))</f>
        <v>0.7</v>
      </c>
      <c r="K8" s="17" t="n">
        <f aca="false">IF(A8=0,-Capitalization!C$19,IF(A8&lt;=Inputs!$B$34,0,I8*J8-IF(AND(A8=Inputs!$B$36,Capitalization!C$18&gt;0),Inputs!$B$37,0)))</f>
        <v>0.0848276507775948</v>
      </c>
    </row>
    <row r="9" customFormat="false" ht="15" hidden="false" customHeight="false" outlineLevel="0" collapsed="false">
      <c r="A9" s="4" t="n">
        <v>4</v>
      </c>
      <c r="B9" s="4" t="str">
        <f aca="false">IF(A9=0,"Equity",IF(A9&lt;=Inputs!$B$34,"Construction",IF(A9&lt;=Inputs!$B$34+Inputs!$B$6,"Queue wait","Grid ops")))</f>
        <v>Queue wait</v>
      </c>
      <c r="C9" s="4" t="n">
        <f aca="false">IF(A9&lt;=Inputs!$B$34,"",A9-Inputs!$B$34-1)</f>
        <v>1</v>
      </c>
      <c r="D9" s="18" t="n">
        <f aca="false">IF(A9&lt;=Inputs!$B$34,0,Inputs!$B$11*Inputs!$B$12*8760*(1-Inputs!$B$13)^C9*Inputs!$B$14*(1-Inputs!$B$15))</f>
        <v>229029.05025</v>
      </c>
      <c r="E9" s="17" t="n">
        <f aca="false">IF(A9&lt;=Inputs!$B$34,0,IF(A9&lt;=Inputs!$B$34+Inputs!$B$6,D9*(1-Inputs!$B$23)*Inputs!$B$32/1000000,D9*Inputs!$B$31/1000000))</f>
        <v>13.60432558485</v>
      </c>
      <c r="F9" s="17" t="n">
        <f aca="false">IF(A9&lt;=Inputs!$B$34,0,Inputs!$B$19+Inputs!$B$20+Inputs!$B$21+Inputs!$B$33*E9)</f>
        <v>5.04206488377275</v>
      </c>
      <c r="G9" s="17" t="n">
        <f aca="false">E9-F9</f>
        <v>8.56226070107725</v>
      </c>
      <c r="H9" s="11" t="n">
        <f aca="false">IF(AND(A9&gt;Inputs!$B$34,A9&lt;=Inputs!$B$34+Inputs!$B$25),Capitalization!C$12,0)</f>
        <v>8.50841633629629</v>
      </c>
      <c r="I9" s="17" t="n">
        <f aca="false">G9-H9</f>
        <v>0.053844364780959</v>
      </c>
      <c r="J9" s="22" t="n">
        <f aca="false">IF(A9&lt;=Inputs!$B$34,"",IF(AND(A9&lt;=Inputs!$B$36,Capitalization!C$18&gt;0),Inputs!$B$38,Inputs!$B$39))</f>
        <v>0.7</v>
      </c>
      <c r="K9" s="17" t="n">
        <f aca="false">IF(A9=0,-Capitalization!C$19,IF(A9&lt;=Inputs!$B$34,0,I9*J9-IF(AND(A9=Inputs!$B$36,Capitalization!C$18&gt;0),Inputs!$B$37,0)))</f>
        <v>0.0376910553466713</v>
      </c>
    </row>
    <row r="10" customFormat="false" ht="15" hidden="false" customHeight="false" outlineLevel="0" collapsed="false">
      <c r="A10" s="4" t="n">
        <v>5</v>
      </c>
      <c r="B10" s="4" t="str">
        <f aca="false">IF(A10=0,"Equity",IF(A10&lt;=Inputs!$B$34,"Construction",IF(A10&lt;=Inputs!$B$34+Inputs!$B$6,"Queue wait","Grid ops")))</f>
        <v>Queue wait</v>
      </c>
      <c r="C10" s="4" t="n">
        <f aca="false">IF(A10&lt;=Inputs!$B$34,"",A10-Inputs!$B$34-1)</f>
        <v>2</v>
      </c>
      <c r="D10" s="18" t="n">
        <f aca="false">IF(A10&lt;=Inputs!$B$34,0,Inputs!$B$11*Inputs!$B$12*8760*(1-Inputs!$B$13)^C10*Inputs!$B$14*(1-Inputs!$B$15))</f>
        <v>227883.90499875</v>
      </c>
      <c r="E10" s="17" t="n">
        <f aca="false">IF(A10&lt;=Inputs!$B$34,0,IF(A10&lt;=Inputs!$B$34+Inputs!$B$6,D10*(1-Inputs!$B$23)*Inputs!$B$32/1000000,D10*Inputs!$B$31/1000000))</f>
        <v>13.5363039569258</v>
      </c>
      <c r="F10" s="17" t="n">
        <f aca="false">IF(A10&lt;=Inputs!$B$34,0,Inputs!$B$19+Inputs!$B$20+Inputs!$B$21+Inputs!$B$33*E10)</f>
        <v>5.04104455935389</v>
      </c>
      <c r="G10" s="17" t="n">
        <f aca="false">E10-F10</f>
        <v>8.49525939757187</v>
      </c>
      <c r="H10" s="11" t="n">
        <f aca="false">IF(AND(A10&gt;Inputs!$B$34,A10&lt;=Inputs!$B$34+Inputs!$B$25),Capitalization!C$12,0)</f>
        <v>8.50841633629629</v>
      </c>
      <c r="I10" s="17" t="n">
        <f aca="false">G10-H10</f>
        <v>-0.0131569387244266</v>
      </c>
      <c r="J10" s="22" t="n">
        <f aca="false">IF(A10&lt;=Inputs!$B$34,"",IF(AND(A10&lt;=Inputs!$B$36,Capitalization!C$18&gt;0),Inputs!$B$38,Inputs!$B$39))</f>
        <v>0.7</v>
      </c>
      <c r="K10" s="17" t="n">
        <f aca="false">IF(A10=0,-Capitalization!C$19,IF(A10&lt;=Inputs!$B$34,0,I10*J10-IF(AND(A10=Inputs!$B$36,Capitalization!C$18&gt;0),Inputs!$B$37,0)))</f>
        <v>-0.00920985710709861</v>
      </c>
    </row>
    <row r="11" customFormat="false" ht="15" hidden="false" customHeight="false" outlineLevel="0" collapsed="false">
      <c r="A11" s="4" t="n">
        <v>6</v>
      </c>
      <c r="B11" s="4" t="str">
        <f aca="false">IF(A11=0,"Equity",IF(A11&lt;=Inputs!$B$34,"Construction",IF(A11&lt;=Inputs!$B$34+Inputs!$B$6,"Queue wait","Grid ops")))</f>
        <v>Queue wait</v>
      </c>
      <c r="C11" s="4" t="n">
        <f aca="false">IF(A11&lt;=Inputs!$B$34,"",A11-Inputs!$B$34-1)</f>
        <v>3</v>
      </c>
      <c r="D11" s="18" t="n">
        <f aca="false">IF(A11&lt;=Inputs!$B$34,0,Inputs!$B$11*Inputs!$B$12*8760*(1-Inputs!$B$13)^C11*Inputs!$B$14*(1-Inputs!$B$15))</f>
        <v>226744.485473756</v>
      </c>
      <c r="E11" s="17" t="n">
        <f aca="false">IF(A11&lt;=Inputs!$B$34,0,IF(A11&lt;=Inputs!$B$34+Inputs!$B$6,D11*(1-Inputs!$B$23)*Inputs!$B$32/1000000,D11*Inputs!$B$31/1000000))</f>
        <v>13.4686224371411</v>
      </c>
      <c r="F11" s="17" t="n">
        <f aca="false">IF(A11&lt;=Inputs!$B$34,0,Inputs!$B$19+Inputs!$B$20+Inputs!$B$21+Inputs!$B$33*E11)</f>
        <v>5.04002933655712</v>
      </c>
      <c r="G11" s="17" t="n">
        <f aca="false">E11-F11</f>
        <v>8.42859310058401</v>
      </c>
      <c r="H11" s="11" t="n">
        <f aca="false">IF(AND(A11&gt;Inputs!$B$34,A11&lt;=Inputs!$B$34+Inputs!$B$25),Capitalization!C$12,0)</f>
        <v>8.50841633629629</v>
      </c>
      <c r="I11" s="17" t="n">
        <f aca="false">G11-H11</f>
        <v>-0.0798232357122881</v>
      </c>
      <c r="J11" s="22" t="n">
        <f aca="false">IF(A11&lt;=Inputs!$B$34,"",IF(AND(A11&lt;=Inputs!$B$36,Capitalization!C$18&gt;0),Inputs!$B$38,Inputs!$B$39))</f>
        <v>0.7</v>
      </c>
      <c r="K11" s="17" t="n">
        <f aca="false">IF(A11=0,-Capitalization!C$19,IF(A11&lt;=Inputs!$B$34,0,I11*J11-IF(AND(A11=Inputs!$B$36,Capitalization!C$18&gt;0),Inputs!$B$37,0)))</f>
        <v>-0.0558762649986017</v>
      </c>
    </row>
    <row r="12" customFormat="false" ht="15" hidden="false" customHeight="false" outlineLevel="0" collapsed="false">
      <c r="A12" s="4" t="n">
        <v>7</v>
      </c>
      <c r="B12" s="4" t="str">
        <f aca="false">IF(A12=0,"Equity",IF(A12&lt;=Inputs!$B$34,"Construction",IF(A12&lt;=Inputs!$B$34+Inputs!$B$6,"Queue wait","Grid ops")))</f>
        <v>Grid ops</v>
      </c>
      <c r="C12" s="4" t="n">
        <f aca="false">IF(A12&lt;=Inputs!$B$34,"",A12-Inputs!$B$34-1)</f>
        <v>4</v>
      </c>
      <c r="D12" s="18" t="n">
        <f aca="false">IF(A12&lt;=Inputs!$B$34,0,Inputs!$B$11*Inputs!$B$12*8760*(1-Inputs!$B$13)^C12*Inputs!$B$14*(1-Inputs!$B$15))</f>
        <v>225610.763046388</v>
      </c>
      <c r="E12" s="17" t="n">
        <f aca="false">IF(A12&lt;=Inputs!$B$34,0,IF(A12&lt;=Inputs!$B$34+Inputs!$B$6,D12*(1-Inputs!$B$23)*Inputs!$B$32/1000000,D12*Inputs!$B$31/1000000))</f>
        <v>16.2439749393399</v>
      </c>
      <c r="F12" s="17" t="n">
        <f aca="false">IF(A12&lt;=Inputs!$B$34,0,Inputs!$B$19+Inputs!$B$20+Inputs!$B$21+Inputs!$B$33*E12)</f>
        <v>5.0816596240901</v>
      </c>
      <c r="G12" s="17" t="n">
        <f aca="false">E12-F12</f>
        <v>11.1623153152498</v>
      </c>
      <c r="H12" s="11" t="n">
        <f aca="false">IF(AND(A12&gt;Inputs!$B$34,A12&lt;=Inputs!$B$34+Inputs!$B$25),Capitalization!C$12,0)</f>
        <v>8.50841633629629</v>
      </c>
      <c r="I12" s="17" t="n">
        <f aca="false">G12-H12</f>
        <v>2.65389897895351</v>
      </c>
      <c r="J12" s="22" t="n">
        <f aca="false">IF(A12&lt;=Inputs!$B$34,"",IF(AND(A12&lt;=Inputs!$B$36,Capitalization!C$18&gt;0),Inputs!$B$38,Inputs!$B$39))</f>
        <v>0.7</v>
      </c>
      <c r="K12" s="17" t="n">
        <f aca="false">IF(A12=0,-Capitalization!C$19,IF(A12&lt;=Inputs!$B$34,0,I12*J12-IF(AND(A12=Inputs!$B$36,Capitalization!C$18&gt;0),Inputs!$B$37,0)))</f>
        <v>1.85772928526745</v>
      </c>
    </row>
    <row r="13" customFormat="false" ht="15" hidden="false" customHeight="false" outlineLevel="0" collapsed="false">
      <c r="A13" s="4" t="n">
        <v>8</v>
      </c>
      <c r="B13" s="4" t="str">
        <f aca="false">IF(A13=0,"Equity",IF(A13&lt;=Inputs!$B$34,"Construction",IF(A13&lt;=Inputs!$B$34+Inputs!$B$6,"Queue wait","Grid ops")))</f>
        <v>Grid ops</v>
      </c>
      <c r="C13" s="4" t="n">
        <f aca="false">IF(A13&lt;=Inputs!$B$34,"",A13-Inputs!$B$34-1)</f>
        <v>5</v>
      </c>
      <c r="D13" s="18" t="n">
        <f aca="false">IF(A13&lt;=Inputs!$B$34,0,Inputs!$B$11*Inputs!$B$12*8760*(1-Inputs!$B$13)^C13*Inputs!$B$14*(1-Inputs!$B$15))</f>
        <v>224482.709231156</v>
      </c>
      <c r="E13" s="17" t="n">
        <f aca="false">IF(A13&lt;=Inputs!$B$34,0,IF(A13&lt;=Inputs!$B$34+Inputs!$B$6,D13*(1-Inputs!$B$23)*Inputs!$B$32/1000000,D13*Inputs!$B$31/1000000))</f>
        <v>16.1627550646432</v>
      </c>
      <c r="F13" s="17" t="n">
        <f aca="false">IF(A13&lt;=Inputs!$B$34,0,Inputs!$B$19+Inputs!$B$20+Inputs!$B$21+Inputs!$B$33*E13)</f>
        <v>5.08044132596965</v>
      </c>
      <c r="G13" s="17" t="n">
        <f aca="false">E13-F13</f>
        <v>11.0823137386736</v>
      </c>
      <c r="H13" s="11" t="n">
        <f aca="false">IF(AND(A13&gt;Inputs!$B$34,A13&lt;=Inputs!$B$34+Inputs!$B$25),Capitalization!C$12,0)</f>
        <v>8.50841633629629</v>
      </c>
      <c r="I13" s="17" t="n">
        <f aca="false">G13-H13</f>
        <v>2.57389740237726</v>
      </c>
      <c r="J13" s="22" t="n">
        <f aca="false">IF(A13&lt;=Inputs!$B$34,"",IF(AND(A13&lt;=Inputs!$B$36,Capitalization!C$18&gt;0),Inputs!$B$38,Inputs!$B$39))</f>
        <v>0.7</v>
      </c>
      <c r="K13" s="17" t="n">
        <f aca="false">IF(A13=0,-Capitalization!C$19,IF(A13&lt;=Inputs!$B$34,0,I13*J13-IF(AND(A13=Inputs!$B$36,Capitalization!C$18&gt;0),Inputs!$B$37,0)))</f>
        <v>0.80172818166408</v>
      </c>
    </row>
    <row r="14" customFormat="false" ht="15" hidden="false" customHeight="false" outlineLevel="0" collapsed="false">
      <c r="A14" s="4" t="n">
        <v>9</v>
      </c>
      <c r="B14" s="4" t="str">
        <f aca="false">IF(A14=0,"Equity",IF(A14&lt;=Inputs!$B$34,"Construction",IF(A14&lt;=Inputs!$B$34+Inputs!$B$6,"Queue wait","Grid ops")))</f>
        <v>Grid ops</v>
      </c>
      <c r="C14" s="4" t="n">
        <f aca="false">IF(A14&lt;=Inputs!$B$34,"",A14-Inputs!$B$34-1)</f>
        <v>6</v>
      </c>
      <c r="D14" s="18" t="n">
        <f aca="false">IF(A14&lt;=Inputs!$B$34,0,Inputs!$B$11*Inputs!$B$12*8760*(1-Inputs!$B$13)^C14*Inputs!$B$14*(1-Inputs!$B$15))</f>
        <v>223360.295685</v>
      </c>
      <c r="E14" s="17" t="n">
        <f aca="false">IF(A14&lt;=Inputs!$B$34,0,IF(A14&lt;=Inputs!$B$34+Inputs!$B$6,D14*(1-Inputs!$B$23)*Inputs!$B$32/1000000,D14*Inputs!$B$31/1000000))</f>
        <v>16.08194128932</v>
      </c>
      <c r="F14" s="17" t="n">
        <f aca="false">IF(A14&lt;=Inputs!$B$34,0,Inputs!$B$19+Inputs!$B$20+Inputs!$B$21+Inputs!$B$33*E14)</f>
        <v>5.0792291193398</v>
      </c>
      <c r="G14" s="17" t="n">
        <f aca="false">E14-F14</f>
        <v>11.0027121699802</v>
      </c>
      <c r="H14" s="11" t="n">
        <f aca="false">IF(AND(A14&gt;Inputs!$B$34,A14&lt;=Inputs!$B$34+Inputs!$B$25),Capitalization!C$12,0)</f>
        <v>8.50841633629629</v>
      </c>
      <c r="I14" s="17" t="n">
        <f aca="false">G14-H14</f>
        <v>2.49429583368389</v>
      </c>
      <c r="J14" s="22" t="n">
        <f aca="false">IF(A14&lt;=Inputs!$B$34,"",IF(AND(A14&lt;=Inputs!$B$36,Capitalization!C$18&gt;0),Inputs!$B$38,Inputs!$B$39))</f>
        <v>0.975</v>
      </c>
      <c r="K14" s="17" t="n">
        <f aca="false">IF(A14=0,-Capitalization!C$19,IF(A14&lt;=Inputs!$B$34,0,I14*J14-IF(AND(A14=Inputs!$B$36,Capitalization!C$18&gt;0),Inputs!$B$37,0)))</f>
        <v>2.43193843784179</v>
      </c>
    </row>
    <row r="15" customFormat="false" ht="15" hidden="false" customHeight="false" outlineLevel="0" collapsed="false">
      <c r="A15" s="4" t="n">
        <v>10</v>
      </c>
      <c r="B15" s="4" t="str">
        <f aca="false">IF(A15=0,"Equity",IF(A15&lt;=Inputs!$B$34,"Construction",IF(A15&lt;=Inputs!$B$34+Inputs!$B$6,"Queue wait","Grid ops")))</f>
        <v>Grid ops</v>
      </c>
      <c r="C15" s="4" t="n">
        <f aca="false">IF(A15&lt;=Inputs!$B$34,"",A15-Inputs!$B$34-1)</f>
        <v>7</v>
      </c>
      <c r="D15" s="18" t="n">
        <f aca="false">IF(A15&lt;=Inputs!$B$34,0,Inputs!$B$11*Inputs!$B$12*8760*(1-Inputs!$B$13)^C15*Inputs!$B$14*(1-Inputs!$B$15))</f>
        <v>222243.494206575</v>
      </c>
      <c r="E15" s="17" t="n">
        <f aca="false">IF(A15&lt;=Inputs!$B$34,0,IF(A15&lt;=Inputs!$B$34+Inputs!$B$6,D15*(1-Inputs!$B$23)*Inputs!$B$32/1000000,D15*Inputs!$B$31/1000000))</f>
        <v>16.0015315828734</v>
      </c>
      <c r="F15" s="17" t="n">
        <f aca="false">IF(A15&lt;=Inputs!$B$34,0,Inputs!$B$19+Inputs!$B$20+Inputs!$B$21+Inputs!$B$33*E15)</f>
        <v>5.0780229737431</v>
      </c>
      <c r="G15" s="17" t="n">
        <f aca="false">E15-F15</f>
        <v>10.9235086091303</v>
      </c>
      <c r="H15" s="11" t="n">
        <f aca="false">IF(AND(A15&gt;Inputs!$B$34,A15&lt;=Inputs!$B$34+Inputs!$B$25),Capitalization!C$12,0)</f>
        <v>8.50841633629629</v>
      </c>
      <c r="I15" s="17" t="n">
        <f aca="false">G15-H15</f>
        <v>2.41509227283399</v>
      </c>
      <c r="J15" s="22" t="n">
        <f aca="false">IF(A15&lt;=Inputs!$B$34,"",IF(AND(A15&lt;=Inputs!$B$36,Capitalization!C$18&gt;0),Inputs!$B$38,Inputs!$B$39))</f>
        <v>0.975</v>
      </c>
      <c r="K15" s="17" t="n">
        <f aca="false">IF(A15=0,-Capitalization!C$19,IF(A15&lt;=Inputs!$B$34,0,I15*J15-IF(AND(A15=Inputs!$B$36,Capitalization!C$18&gt;0),Inputs!$B$37,0)))</f>
        <v>2.35471496601314</v>
      </c>
    </row>
    <row r="16" customFormat="false" ht="15" hidden="false" customHeight="false" outlineLevel="0" collapsed="false">
      <c r="A16" s="4" t="n">
        <v>11</v>
      </c>
      <c r="B16" s="4" t="str">
        <f aca="false">IF(A16=0,"Equity",IF(A16&lt;=Inputs!$B$34,"Construction",IF(A16&lt;=Inputs!$B$34+Inputs!$B$6,"Queue wait","Grid ops")))</f>
        <v>Grid ops</v>
      </c>
      <c r="C16" s="4" t="n">
        <f aca="false">IF(A16&lt;=Inputs!$B$34,"",A16-Inputs!$B$34-1)</f>
        <v>8</v>
      </c>
      <c r="D16" s="18" t="n">
        <f aca="false">IF(A16&lt;=Inputs!$B$34,0,Inputs!$B$11*Inputs!$B$12*8760*(1-Inputs!$B$13)^C16*Inputs!$B$14*(1-Inputs!$B$15))</f>
        <v>221132.276735542</v>
      </c>
      <c r="E16" s="17" t="n">
        <f aca="false">IF(A16&lt;=Inputs!$B$34,0,IF(A16&lt;=Inputs!$B$34+Inputs!$B$6,D16*(1-Inputs!$B$23)*Inputs!$B$32/1000000,D16*Inputs!$B$31/1000000))</f>
        <v>15.921523924959</v>
      </c>
      <c r="F16" s="17" t="n">
        <f aca="false">IF(A16&lt;=Inputs!$B$34,0,Inputs!$B$19+Inputs!$B$20+Inputs!$B$21+Inputs!$B$33*E16)</f>
        <v>5.07682285887439</v>
      </c>
      <c r="G16" s="17" t="n">
        <f aca="false">E16-F16</f>
        <v>10.8447010660846</v>
      </c>
      <c r="H16" s="11" t="n">
        <f aca="false">IF(AND(A16&gt;Inputs!$B$34,A16&lt;=Inputs!$B$34+Inputs!$B$25),Capitalization!C$12,0)</f>
        <v>8.50841633629629</v>
      </c>
      <c r="I16" s="17" t="n">
        <f aca="false">G16-H16</f>
        <v>2.33628472978834</v>
      </c>
      <c r="J16" s="22" t="n">
        <f aca="false">IF(A16&lt;=Inputs!$B$34,"",IF(AND(A16&lt;=Inputs!$B$36,Capitalization!C$18&gt;0),Inputs!$B$38,Inputs!$B$39))</f>
        <v>0.975</v>
      </c>
      <c r="K16" s="17" t="n">
        <f aca="false">IF(A16=0,-Capitalization!C$19,IF(A16&lt;=Inputs!$B$34,0,I16*J16-IF(AND(A16=Inputs!$B$36,Capitalization!C$18&gt;0),Inputs!$B$37,0)))</f>
        <v>2.27787761154363</v>
      </c>
    </row>
    <row r="17" customFormat="false" ht="15" hidden="false" customHeight="false" outlineLevel="0" collapsed="false">
      <c r="A17" s="4" t="n">
        <v>12</v>
      </c>
      <c r="B17" s="4" t="str">
        <f aca="false">IF(A17=0,"Equity",IF(A17&lt;=Inputs!$B$34,"Construction",IF(A17&lt;=Inputs!$B$34+Inputs!$B$6,"Queue wait","Grid ops")))</f>
        <v>Grid ops</v>
      </c>
      <c r="C17" s="4" t="n">
        <f aca="false">IF(A17&lt;=Inputs!$B$34,"",A17-Inputs!$B$34-1)</f>
        <v>9</v>
      </c>
      <c r="D17" s="18" t="n">
        <f aca="false">IF(A17&lt;=Inputs!$B$34,0,Inputs!$B$11*Inputs!$B$12*8760*(1-Inputs!$B$13)^C17*Inputs!$B$14*(1-Inputs!$B$15))</f>
        <v>220026.615351864</v>
      </c>
      <c r="E17" s="17" t="n">
        <f aca="false">IF(A17&lt;=Inputs!$B$34,0,IF(A17&lt;=Inputs!$B$34+Inputs!$B$6,D17*(1-Inputs!$B$23)*Inputs!$B$32/1000000,D17*Inputs!$B$31/1000000))</f>
        <v>15.8419163053342</v>
      </c>
      <c r="F17" s="17" t="n">
        <f aca="false">IF(A17&lt;=Inputs!$B$34,0,Inputs!$B$19+Inputs!$B$20+Inputs!$B$21+Inputs!$B$33*E17)</f>
        <v>5.07562874458001</v>
      </c>
      <c r="G17" s="17" t="n">
        <f aca="false">E17-F17</f>
        <v>10.7662875607542</v>
      </c>
      <c r="H17" s="11" t="n">
        <f aca="false">IF(AND(A17&gt;Inputs!$B$34,A17&lt;=Inputs!$B$34+Inputs!$B$25),Capitalization!C$12,0)</f>
        <v>8.50841633629629</v>
      </c>
      <c r="I17" s="17" t="n">
        <f aca="false">G17-H17</f>
        <v>2.25787122445791</v>
      </c>
      <c r="J17" s="22" t="n">
        <f aca="false">IF(A17&lt;=Inputs!$B$34,"",IF(AND(A17&lt;=Inputs!$B$36,Capitalization!C$18&gt;0),Inputs!$B$38,Inputs!$B$39))</f>
        <v>0.975</v>
      </c>
      <c r="K17" s="17" t="n">
        <f aca="false">IF(A17=0,-Capitalization!C$19,IF(A17&lt;=Inputs!$B$34,0,I17*J17-IF(AND(A17=Inputs!$B$36,Capitalization!C$18&gt;0),Inputs!$B$37,0)))</f>
        <v>2.20142444384646</v>
      </c>
    </row>
    <row r="18" customFormat="false" ht="15" hidden="false" customHeight="false" outlineLevel="0" collapsed="false">
      <c r="A18" s="4" t="n">
        <v>13</v>
      </c>
      <c r="B18" s="4" t="str">
        <f aca="false">IF(A18=0,"Equity",IF(A18&lt;=Inputs!$B$34,"Construction",IF(A18&lt;=Inputs!$B$34+Inputs!$B$6,"Queue wait","Grid ops")))</f>
        <v>Grid ops</v>
      </c>
      <c r="C18" s="4" t="n">
        <f aca="false">IF(A18&lt;=Inputs!$B$34,"",A18-Inputs!$B$34-1)</f>
        <v>10</v>
      </c>
      <c r="D18" s="18" t="n">
        <f aca="false">IF(A18&lt;=Inputs!$B$34,0,Inputs!$B$11*Inputs!$B$12*8760*(1-Inputs!$B$13)^C18*Inputs!$B$14*(1-Inputs!$B$15))</f>
        <v>218926.482275105</v>
      </c>
      <c r="E18" s="17" t="n">
        <f aca="false">IF(A18&lt;=Inputs!$B$34,0,IF(A18&lt;=Inputs!$B$34+Inputs!$B$6,D18*(1-Inputs!$B$23)*Inputs!$B$32/1000000,D18*Inputs!$B$31/1000000))</f>
        <v>15.7627067238076</v>
      </c>
      <c r="F18" s="17" t="n">
        <f aca="false">IF(A18&lt;=Inputs!$B$34,0,Inputs!$B$19+Inputs!$B$20+Inputs!$B$21+Inputs!$B$33*E18)</f>
        <v>5.07444060085711</v>
      </c>
      <c r="G18" s="17" t="n">
        <f aca="false">E18-F18</f>
        <v>10.6882661229504</v>
      </c>
      <c r="H18" s="11" t="n">
        <f aca="false">IF(AND(A18&gt;Inputs!$B$34,A18&lt;=Inputs!$B$34+Inputs!$B$25),Capitalization!C$12,0)</f>
        <v>8.50841633629629</v>
      </c>
      <c r="I18" s="17" t="n">
        <f aca="false">G18-H18</f>
        <v>2.17984978665414</v>
      </c>
      <c r="J18" s="22" t="n">
        <f aca="false">IF(A18&lt;=Inputs!$B$34,"",IF(AND(A18&lt;=Inputs!$B$36,Capitalization!C$18&gt;0),Inputs!$B$38,Inputs!$B$39))</f>
        <v>0.975</v>
      </c>
      <c r="K18" s="17" t="n">
        <f aca="false">IF(A18=0,-Capitalization!C$19,IF(A18&lt;=Inputs!$B$34,0,I18*J18-IF(AND(A18=Inputs!$B$36,Capitalization!C$18&gt;0),Inputs!$B$37,0)))</f>
        <v>2.12535354198779</v>
      </c>
    </row>
    <row r="19" customFormat="false" ht="15" hidden="false" customHeight="false" outlineLevel="0" collapsed="false">
      <c r="A19" s="4" t="n">
        <v>14</v>
      </c>
      <c r="B19" s="4" t="str">
        <f aca="false">IF(A19=0,"Equity",IF(A19&lt;=Inputs!$B$34,"Construction",IF(A19&lt;=Inputs!$B$34+Inputs!$B$6,"Queue wait","Grid ops")))</f>
        <v>Grid ops</v>
      </c>
      <c r="C19" s="4" t="n">
        <f aca="false">IF(A19&lt;=Inputs!$B$34,"",A19-Inputs!$B$34-1)</f>
        <v>11</v>
      </c>
      <c r="D19" s="18" t="n">
        <f aca="false">IF(A19&lt;=Inputs!$B$34,0,Inputs!$B$11*Inputs!$B$12*8760*(1-Inputs!$B$13)^C19*Inputs!$B$14*(1-Inputs!$B$15))</f>
        <v>217831.849863729</v>
      </c>
      <c r="E19" s="17" t="n">
        <f aca="false">IF(A19&lt;=Inputs!$B$34,0,IF(A19&lt;=Inputs!$B$34+Inputs!$B$6,D19*(1-Inputs!$B$23)*Inputs!$B$32/1000000,D19*Inputs!$B$31/1000000))</f>
        <v>15.6838931901885</v>
      </c>
      <c r="F19" s="17" t="n">
        <f aca="false">IF(A19&lt;=Inputs!$B$34,0,Inputs!$B$19+Inputs!$B$20+Inputs!$B$21+Inputs!$B$33*E19)</f>
        <v>5.07325839785283</v>
      </c>
      <c r="G19" s="17" t="n">
        <f aca="false">E19-F19</f>
        <v>10.6106347923357</v>
      </c>
      <c r="H19" s="11" t="n">
        <f aca="false">IF(AND(A19&gt;Inputs!$B$34,A19&lt;=Inputs!$B$34+Inputs!$B$25),Capitalization!C$12,0)</f>
        <v>8.50841633629629</v>
      </c>
      <c r="I19" s="17" t="n">
        <f aca="false">G19-H19</f>
        <v>2.10221845603939</v>
      </c>
      <c r="J19" s="22" t="n">
        <f aca="false">IF(A19&lt;=Inputs!$B$34,"",IF(AND(A19&lt;=Inputs!$B$36,Capitalization!C$18&gt;0),Inputs!$B$38,Inputs!$B$39))</f>
        <v>0.975</v>
      </c>
      <c r="K19" s="17" t="n">
        <f aca="false">IF(A19=0,-Capitalization!C$19,IF(A19&lt;=Inputs!$B$34,0,I19*J19-IF(AND(A19=Inputs!$B$36,Capitalization!C$18&gt;0),Inputs!$B$37,0)))</f>
        <v>2.04966299463841</v>
      </c>
    </row>
    <row r="20" customFormat="false" ht="15" hidden="false" customHeight="false" outlineLevel="0" collapsed="false">
      <c r="A20" s="4" t="n">
        <v>15</v>
      </c>
      <c r="B20" s="4" t="str">
        <f aca="false">IF(A20=0,"Equity",IF(A20&lt;=Inputs!$B$34,"Construction",IF(A20&lt;=Inputs!$B$34+Inputs!$B$6,"Queue wait","Grid ops")))</f>
        <v>Grid ops</v>
      </c>
      <c r="C20" s="4" t="n">
        <f aca="false">IF(A20&lt;=Inputs!$B$34,"",A20-Inputs!$B$34-1)</f>
        <v>12</v>
      </c>
      <c r="D20" s="18" t="n">
        <f aca="false">IF(A20&lt;=Inputs!$B$34,0,Inputs!$B$11*Inputs!$B$12*8760*(1-Inputs!$B$13)^C20*Inputs!$B$14*(1-Inputs!$B$15))</f>
        <v>216742.690614411</v>
      </c>
      <c r="E20" s="17" t="n">
        <f aca="false">IF(A20&lt;=Inputs!$B$34,0,IF(A20&lt;=Inputs!$B$34+Inputs!$B$6,D20*(1-Inputs!$B$23)*Inputs!$B$32/1000000,D20*Inputs!$B$31/1000000))</f>
        <v>15.6054737242376</v>
      </c>
      <c r="F20" s="17" t="n">
        <f aca="false">IF(A20&lt;=Inputs!$B$34,0,Inputs!$B$19+Inputs!$B$20+Inputs!$B$21+Inputs!$B$33*E20)</f>
        <v>5.07208210586356</v>
      </c>
      <c r="G20" s="17" t="n">
        <f aca="false">E20-F20</f>
        <v>10.533391618374</v>
      </c>
      <c r="H20" s="11" t="n">
        <f aca="false">IF(AND(A20&gt;Inputs!$B$34,A20&lt;=Inputs!$B$34+Inputs!$B$25),Capitalization!C$12,0)</f>
        <v>8.50841633629629</v>
      </c>
      <c r="I20" s="17" t="n">
        <f aca="false">G20-H20</f>
        <v>2.02497528207771</v>
      </c>
      <c r="J20" s="22" t="n">
        <f aca="false">IF(A20&lt;=Inputs!$B$34,"",IF(AND(A20&lt;=Inputs!$B$36,Capitalization!C$18&gt;0),Inputs!$B$38,Inputs!$B$39))</f>
        <v>0.975</v>
      </c>
      <c r="K20" s="17" t="n">
        <f aca="false">IF(A20=0,-Capitalization!C$19,IF(A20&lt;=Inputs!$B$34,0,I20*J20-IF(AND(A20=Inputs!$B$36,Capitalization!C$18&gt;0),Inputs!$B$37,0)))</f>
        <v>1.97435090002577</v>
      </c>
    </row>
    <row r="21" customFormat="false" ht="15" hidden="false" customHeight="false" outlineLevel="0" collapsed="false">
      <c r="A21" s="4" t="n">
        <v>16</v>
      </c>
      <c r="B21" s="4" t="str">
        <f aca="false">IF(A21=0,"Equity",IF(A21&lt;=Inputs!$B$34,"Construction",IF(A21&lt;=Inputs!$B$34+Inputs!$B$6,"Queue wait","Grid ops")))</f>
        <v>Grid ops</v>
      </c>
      <c r="C21" s="4" t="n">
        <f aca="false">IF(A21&lt;=Inputs!$B$34,"",A21-Inputs!$B$34-1)</f>
        <v>13</v>
      </c>
      <c r="D21" s="18" t="n">
        <f aca="false">IF(A21&lt;=Inputs!$B$34,0,Inputs!$B$11*Inputs!$B$12*8760*(1-Inputs!$B$13)^C21*Inputs!$B$14*(1-Inputs!$B$15))</f>
        <v>215658.977161339</v>
      </c>
      <c r="E21" s="17" t="n">
        <f aca="false">IF(A21&lt;=Inputs!$B$34,0,IF(A21&lt;=Inputs!$B$34+Inputs!$B$6,D21*(1-Inputs!$B$23)*Inputs!$B$32/1000000,D21*Inputs!$B$31/1000000))</f>
        <v>15.5274463556164</v>
      </c>
      <c r="F21" s="17" t="n">
        <f aca="false">IF(A21&lt;=Inputs!$B$34,0,Inputs!$B$19+Inputs!$B$20+Inputs!$B$21+Inputs!$B$33*E21)</f>
        <v>5.07091169533425</v>
      </c>
      <c r="G21" s="17" t="n">
        <f aca="false">E21-F21</f>
        <v>10.4565346602821</v>
      </c>
      <c r="H21" s="11" t="n">
        <f aca="false">IF(AND(A21&gt;Inputs!$B$34,A21&lt;=Inputs!$B$34+Inputs!$B$25),Capitalization!C$12,0)</f>
        <v>8.50841633629629</v>
      </c>
      <c r="I21" s="17" t="n">
        <f aca="false">G21-H21</f>
        <v>1.94811832398584</v>
      </c>
      <c r="J21" s="22" t="n">
        <f aca="false">IF(A21&lt;=Inputs!$B$34,"",IF(AND(A21&lt;=Inputs!$B$36,Capitalization!C$18&gt;0),Inputs!$B$38,Inputs!$B$39))</f>
        <v>0.975</v>
      </c>
      <c r="K21" s="17" t="n">
        <f aca="false">IF(A21=0,-Capitalization!C$19,IF(A21&lt;=Inputs!$B$34,0,I21*J21-IF(AND(A21=Inputs!$B$36,Capitalization!C$18&gt;0),Inputs!$B$37,0)))</f>
        <v>1.8994153658862</v>
      </c>
    </row>
    <row r="22" customFormat="false" ht="15" hidden="false" customHeight="false" outlineLevel="0" collapsed="false">
      <c r="A22" s="4" t="n">
        <v>17</v>
      </c>
      <c r="B22" s="4" t="str">
        <f aca="false">IF(A22=0,"Equity",IF(A22&lt;=Inputs!$B$34,"Construction",IF(A22&lt;=Inputs!$B$34+Inputs!$B$6,"Queue wait","Grid ops")))</f>
        <v>Grid ops</v>
      </c>
      <c r="C22" s="4" t="n">
        <f aca="false">IF(A22&lt;=Inputs!$B$34,"",A22-Inputs!$B$34-1)</f>
        <v>14</v>
      </c>
      <c r="D22" s="18" t="n">
        <f aca="false">IF(A22&lt;=Inputs!$B$34,0,Inputs!$B$11*Inputs!$B$12*8760*(1-Inputs!$B$13)^C22*Inputs!$B$14*(1-Inputs!$B$15))</f>
        <v>214580.682275532</v>
      </c>
      <c r="E22" s="17" t="n">
        <f aca="false">IF(A22&lt;=Inputs!$B$34,0,IF(A22&lt;=Inputs!$B$34+Inputs!$B$6,D22*(1-Inputs!$B$23)*Inputs!$B$32/1000000,D22*Inputs!$B$31/1000000))</f>
        <v>15.4498091238383</v>
      </c>
      <c r="F22" s="17" t="n">
        <f aca="false">IF(A22&lt;=Inputs!$B$34,0,Inputs!$B$19+Inputs!$B$20+Inputs!$B$21+Inputs!$B$33*E22)</f>
        <v>5.06974713685758</v>
      </c>
      <c r="G22" s="17" t="n">
        <f aca="false">E22-F22</f>
        <v>10.3800619869807</v>
      </c>
      <c r="H22" s="11" t="n">
        <f aca="false">IF(AND(A22&gt;Inputs!$B$34,A22&lt;=Inputs!$B$34+Inputs!$B$25),Capitalization!C$12,0)</f>
        <v>8.50841633629629</v>
      </c>
      <c r="I22" s="17" t="n">
        <f aca="false">G22-H22</f>
        <v>1.87164565068443</v>
      </c>
      <c r="J22" s="22" t="n">
        <f aca="false">IF(A22&lt;=Inputs!$B$34,"",IF(AND(A22&lt;=Inputs!$B$36,Capitalization!C$18&gt;0),Inputs!$B$38,Inputs!$B$39))</f>
        <v>0.975</v>
      </c>
      <c r="K22" s="17" t="n">
        <f aca="false">IF(A22=0,-Capitalization!C$19,IF(A22&lt;=Inputs!$B$34,0,I22*J22-IF(AND(A22=Inputs!$B$36,Capitalization!C$18&gt;0),Inputs!$B$37,0)))</f>
        <v>1.82485450941732</v>
      </c>
    </row>
    <row r="23" customFormat="false" ht="15" hidden="false" customHeight="false" outlineLevel="0" collapsed="false">
      <c r="A23" s="4" t="n">
        <v>18</v>
      </c>
      <c r="B23" s="4" t="str">
        <f aca="false">IF(A23=0,"Equity",IF(A23&lt;=Inputs!$B$34,"Construction",IF(A23&lt;=Inputs!$B$34+Inputs!$B$6,"Queue wait","Grid ops")))</f>
        <v>Grid ops</v>
      </c>
      <c r="C23" s="4" t="n">
        <f aca="false">IF(A23&lt;=Inputs!$B$34,"",A23-Inputs!$B$34-1)</f>
        <v>15</v>
      </c>
      <c r="D23" s="18" t="n">
        <f aca="false">IF(A23&lt;=Inputs!$B$34,0,Inputs!$B$11*Inputs!$B$12*8760*(1-Inputs!$B$13)^C23*Inputs!$B$14*(1-Inputs!$B$15))</f>
        <v>213507.778864154</v>
      </c>
      <c r="E23" s="17" t="n">
        <f aca="false">IF(A23&lt;=Inputs!$B$34,0,IF(A23&lt;=Inputs!$B$34+Inputs!$B$6,D23*(1-Inputs!$B$23)*Inputs!$B$32/1000000,D23*Inputs!$B$31/1000000))</f>
        <v>15.3725600782191</v>
      </c>
      <c r="F23" s="17" t="n">
        <f aca="false">IF(A23&lt;=Inputs!$B$34,0,Inputs!$B$19+Inputs!$B$20+Inputs!$B$21+Inputs!$B$33*E23)</f>
        <v>5.06858840117329</v>
      </c>
      <c r="G23" s="17" t="n">
        <f aca="false">E23-F23</f>
        <v>10.3039716770458</v>
      </c>
      <c r="H23" s="11" t="n">
        <f aca="false">IF(AND(A23&gt;Inputs!$B$34,A23&lt;=Inputs!$B$34+Inputs!$B$25),Capitalization!C$12,0)</f>
        <v>8.50841633629629</v>
      </c>
      <c r="I23" s="17" t="n">
        <f aca="false">G23-H23</f>
        <v>1.79555534074953</v>
      </c>
      <c r="J23" s="22" t="n">
        <f aca="false">IF(A23&lt;=Inputs!$B$34,"",IF(AND(A23&lt;=Inputs!$B$36,Capitalization!C$18&gt;0),Inputs!$B$38,Inputs!$B$39))</f>
        <v>0.975</v>
      </c>
      <c r="K23" s="17" t="n">
        <f aca="false">IF(A23=0,-Capitalization!C$19,IF(A23&lt;=Inputs!$B$34,0,I23*J23-IF(AND(A23=Inputs!$B$36,Capitalization!C$18&gt;0),Inputs!$B$37,0)))</f>
        <v>1.75066645723079</v>
      </c>
    </row>
    <row r="24" customFormat="false" ht="15" hidden="false" customHeight="false" outlineLevel="0" collapsed="false">
      <c r="A24" s="4" t="n">
        <v>19</v>
      </c>
      <c r="B24" s="4" t="str">
        <f aca="false">IF(A24=0,"Equity",IF(A24&lt;=Inputs!$B$34,"Construction",IF(A24&lt;=Inputs!$B$34+Inputs!$B$6,"Queue wait","Grid ops")))</f>
        <v>Grid ops</v>
      </c>
      <c r="C24" s="4" t="n">
        <f aca="false">IF(A24&lt;=Inputs!$B$34,"",A24-Inputs!$B$34-1)</f>
        <v>16</v>
      </c>
      <c r="D24" s="18" t="n">
        <f aca="false">IF(A24&lt;=Inputs!$B$34,0,Inputs!$B$11*Inputs!$B$12*8760*(1-Inputs!$B$13)^C24*Inputs!$B$14*(1-Inputs!$B$15))</f>
        <v>212440.239969834</v>
      </c>
      <c r="E24" s="17" t="n">
        <f aca="false">IF(A24&lt;=Inputs!$B$34,0,IF(A24&lt;=Inputs!$B$34+Inputs!$B$6,D24*(1-Inputs!$B$23)*Inputs!$B$32/1000000,D24*Inputs!$B$31/1000000))</f>
        <v>15.295697277828</v>
      </c>
      <c r="F24" s="17" t="n">
        <f aca="false">IF(A24&lt;=Inputs!$B$34,0,Inputs!$B$19+Inputs!$B$20+Inputs!$B$21+Inputs!$B$33*E24)</f>
        <v>5.06743545916742</v>
      </c>
      <c r="G24" s="17" t="n">
        <f aca="false">E24-F24</f>
        <v>10.2282618186606</v>
      </c>
      <c r="H24" s="11" t="n">
        <f aca="false">IF(AND(A24&gt;Inputs!$B$34,A24&lt;=Inputs!$B$34+Inputs!$B$25),Capitalization!C$12,0)</f>
        <v>8.50841633629629</v>
      </c>
      <c r="I24" s="17" t="n">
        <f aca="false">G24-H24</f>
        <v>1.7198454823643</v>
      </c>
      <c r="J24" s="22" t="n">
        <f aca="false">IF(A24&lt;=Inputs!$B$34,"",IF(AND(A24&lt;=Inputs!$B$36,Capitalization!C$18&gt;0),Inputs!$B$38,Inputs!$B$39))</f>
        <v>0.975</v>
      </c>
      <c r="K24" s="17" t="n">
        <f aca="false">IF(A24=0,-Capitalization!C$19,IF(A24&lt;=Inputs!$B$34,0,I24*J24-IF(AND(A24=Inputs!$B$36,Capitalization!C$18&gt;0),Inputs!$B$37,0)))</f>
        <v>1.67684934530519</v>
      </c>
    </row>
    <row r="25" customFormat="false" ht="15" hidden="false" customHeight="false" outlineLevel="0" collapsed="false">
      <c r="A25" s="4" t="n">
        <v>20</v>
      </c>
      <c r="B25" s="4" t="str">
        <f aca="false">IF(A25=0,"Equity",IF(A25&lt;=Inputs!$B$34,"Construction",IF(A25&lt;=Inputs!$B$34+Inputs!$B$6,"Queue wait","Grid ops")))</f>
        <v>Grid ops</v>
      </c>
      <c r="C25" s="4" t="n">
        <f aca="false">IF(A25&lt;=Inputs!$B$34,"",A25-Inputs!$B$34-1)</f>
        <v>17</v>
      </c>
      <c r="D25" s="18" t="n">
        <f aca="false">IF(A25&lt;=Inputs!$B$34,0,Inputs!$B$11*Inputs!$B$12*8760*(1-Inputs!$B$13)^C25*Inputs!$B$14*(1-Inputs!$B$15))</f>
        <v>211378.038769984</v>
      </c>
      <c r="E25" s="17" t="n">
        <f aca="false">IF(A25&lt;=Inputs!$B$34,0,IF(A25&lt;=Inputs!$B$34+Inputs!$B$6,D25*(1-Inputs!$B$23)*Inputs!$B$32/1000000,D25*Inputs!$B$31/1000000))</f>
        <v>15.2192187914389</v>
      </c>
      <c r="F25" s="17" t="n">
        <f aca="false">IF(A25&lt;=Inputs!$B$34,0,Inputs!$B$19+Inputs!$B$20+Inputs!$B$21+Inputs!$B$33*E25)</f>
        <v>5.06628828187158</v>
      </c>
      <c r="G25" s="17" t="n">
        <f aca="false">E25-F25</f>
        <v>10.1529305095673</v>
      </c>
      <c r="H25" s="11" t="n">
        <f aca="false">IF(AND(A25&gt;Inputs!$B$34,A25&lt;=Inputs!$B$34+Inputs!$B$25),Capitalization!C$12,0)</f>
        <v>8.50841633629629</v>
      </c>
      <c r="I25" s="17" t="n">
        <f aca="false">G25-H25</f>
        <v>1.64451417327099</v>
      </c>
      <c r="J25" s="22" t="n">
        <f aca="false">IF(A25&lt;=Inputs!$B$34,"",IF(AND(A25&lt;=Inputs!$B$36,Capitalization!C$18&gt;0),Inputs!$B$38,Inputs!$B$39))</f>
        <v>0.975</v>
      </c>
      <c r="K25" s="17" t="n">
        <f aca="false">IF(A25=0,-Capitalization!C$19,IF(A25&lt;=Inputs!$B$34,0,I25*J25-IF(AND(A25=Inputs!$B$36,Capitalization!C$18&gt;0),Inputs!$B$37,0)))</f>
        <v>1.60340131893922</v>
      </c>
    </row>
    <row r="26" customFormat="false" ht="15" hidden="false" customHeight="false" outlineLevel="0" collapsed="false">
      <c r="A26" s="4" t="n">
        <v>21</v>
      </c>
      <c r="B26" s="4" t="str">
        <f aca="false">IF(A26=0,"Equity",IF(A26&lt;=Inputs!$B$34,"Construction",IF(A26&lt;=Inputs!$B$34+Inputs!$B$6,"Queue wait","Grid ops")))</f>
        <v>Grid ops</v>
      </c>
      <c r="C26" s="4" t="n">
        <f aca="false">IF(A26&lt;=Inputs!$B$34,"",A26-Inputs!$B$34-1)</f>
        <v>18</v>
      </c>
      <c r="D26" s="18" t="n">
        <f aca="false">IF(A26&lt;=Inputs!$B$34,0,Inputs!$B$11*Inputs!$B$12*8760*(1-Inputs!$B$13)^C26*Inputs!$B$14*(1-Inputs!$B$15))</f>
        <v>210321.148576134</v>
      </c>
      <c r="E26" s="17" t="n">
        <f aca="false">IF(A26&lt;=Inputs!$B$34,0,IF(A26&lt;=Inputs!$B$34+Inputs!$B$6,D26*(1-Inputs!$B$23)*Inputs!$B$32/1000000,D26*Inputs!$B$31/1000000))</f>
        <v>15.1431226974817</v>
      </c>
      <c r="F26" s="17" t="n">
        <f aca="false">IF(A26&lt;=Inputs!$B$34,0,Inputs!$B$19+Inputs!$B$20+Inputs!$B$21+Inputs!$B$33*E26)</f>
        <v>5.06514684046223</v>
      </c>
      <c r="G26" s="17" t="n">
        <f aca="false">E26-F26</f>
        <v>10.0779758570195</v>
      </c>
      <c r="H26" s="11" t="n">
        <f aca="false">IF(AND(A26&gt;Inputs!$B$34,A26&lt;=Inputs!$B$34+Inputs!$B$25),Capitalization!C$12,0)</f>
        <v>8.50841633629629</v>
      </c>
      <c r="I26" s="17" t="n">
        <f aca="false">G26-H26</f>
        <v>1.56955952072316</v>
      </c>
      <c r="J26" s="22" t="n">
        <f aca="false">IF(A26&lt;=Inputs!$B$34,"",IF(AND(A26&lt;=Inputs!$B$36,Capitalization!C$18&gt;0),Inputs!$B$38,Inputs!$B$39))</f>
        <v>0.975</v>
      </c>
      <c r="K26" s="17" t="n">
        <f aca="false">IF(A26=0,-Capitalization!C$19,IF(A26&lt;=Inputs!$B$34,0,I26*J26-IF(AND(A26=Inputs!$B$36,Capitalization!C$18&gt;0),Inputs!$B$37,0)))</f>
        <v>1.53032053270508</v>
      </c>
    </row>
    <row r="27" customFormat="false" ht="15" hidden="false" customHeight="false" outlineLevel="0" collapsed="false">
      <c r="A27" s="4" t="n">
        <v>22</v>
      </c>
      <c r="B27" s="4" t="str">
        <f aca="false">IF(A27=0,"Equity",IF(A27&lt;=Inputs!$B$34,"Construction",IF(A27&lt;=Inputs!$B$34+Inputs!$B$6,"Queue wait","Grid ops")))</f>
        <v>Grid ops</v>
      </c>
      <c r="C27" s="4" t="n">
        <f aca="false">IF(A27&lt;=Inputs!$B$34,"",A27-Inputs!$B$34-1)</f>
        <v>19</v>
      </c>
      <c r="D27" s="18" t="n">
        <f aca="false">IF(A27&lt;=Inputs!$B$34,0,Inputs!$B$11*Inputs!$B$12*8760*(1-Inputs!$B$13)^C27*Inputs!$B$14*(1-Inputs!$B$15))</f>
        <v>209269.542833254</v>
      </c>
      <c r="E27" s="17" t="n">
        <f aca="false">IF(A27&lt;=Inputs!$B$34,0,IF(A27&lt;=Inputs!$B$34+Inputs!$B$6,D27*(1-Inputs!$B$23)*Inputs!$B$32/1000000,D27*Inputs!$B$31/1000000))</f>
        <v>15.0674070839943</v>
      </c>
      <c r="F27" s="17" t="n">
        <f aca="false">IF(A27&lt;=Inputs!$B$34,0,Inputs!$B$19+Inputs!$B$20+Inputs!$B$21+Inputs!$B$33*E27)</f>
        <v>5.06401110625991</v>
      </c>
      <c r="G27" s="17" t="n">
        <f aca="false">E27-F27</f>
        <v>10.0033959777344</v>
      </c>
      <c r="H27" s="11" t="n">
        <f aca="false">IF(AND(A27&gt;Inputs!$B$34,A27&lt;=Inputs!$B$34+Inputs!$B$25),Capitalization!C$12,0)</f>
        <v>8.50841633629629</v>
      </c>
      <c r="I27" s="17" t="n">
        <f aca="false">G27-H27</f>
        <v>1.49497964143806</v>
      </c>
      <c r="J27" s="22" t="n">
        <f aca="false">IF(A27&lt;=Inputs!$B$34,"",IF(AND(A27&lt;=Inputs!$B$36,Capitalization!C$18&gt;0),Inputs!$B$38,Inputs!$B$39))</f>
        <v>0.975</v>
      </c>
      <c r="K27" s="17" t="n">
        <f aca="false">IF(A27=0,-Capitalization!C$19,IF(A27&lt;=Inputs!$B$34,0,I27*J27-IF(AND(A27=Inputs!$B$36,Capitalization!C$18&gt;0),Inputs!$B$37,0)))</f>
        <v>1.45760515040211</v>
      </c>
    </row>
    <row r="28" customFormat="false" ht="15" hidden="false" customHeight="false" outlineLevel="0" collapsed="false">
      <c r="A28" s="4" t="n">
        <v>23</v>
      </c>
      <c r="B28" s="4" t="str">
        <f aca="false">IF(A28=0,"Equity",IF(A28&lt;=Inputs!$B$34,"Construction",IF(A28&lt;=Inputs!$B$34+Inputs!$B$6,"Queue wait","Grid ops")))</f>
        <v>Grid ops</v>
      </c>
      <c r="C28" s="4" t="n">
        <f aca="false">IF(A28&lt;=Inputs!$B$34,"",A28-Inputs!$B$34-1)</f>
        <v>20</v>
      </c>
      <c r="D28" s="18" t="n">
        <f aca="false">IF(A28&lt;=Inputs!$B$34,0,Inputs!$B$11*Inputs!$B$12*8760*(1-Inputs!$B$13)^C28*Inputs!$B$14*(1-Inputs!$B$15))</f>
        <v>208223.195119087</v>
      </c>
      <c r="E28" s="17" t="n">
        <f aca="false">IF(A28&lt;=Inputs!$B$34,0,IF(A28&lt;=Inputs!$B$34+Inputs!$B$6,D28*(1-Inputs!$B$23)*Inputs!$B$32/1000000,D28*Inputs!$B$31/1000000))</f>
        <v>14.9920700485743</v>
      </c>
      <c r="F28" s="17" t="n">
        <f aca="false">IF(A28&lt;=Inputs!$B$34,0,Inputs!$B$19+Inputs!$B$20+Inputs!$B$21+Inputs!$B$33*E28)</f>
        <v>5.06288105072861</v>
      </c>
      <c r="G28" s="17" t="n">
        <f aca="false">E28-F28</f>
        <v>9.92918899784569</v>
      </c>
      <c r="H28" s="11" t="n">
        <f aca="false">IF(AND(A28&gt;Inputs!$B$34,A28&lt;=Inputs!$B$34+Inputs!$B$25),Capitalization!C$12,0)</f>
        <v>0</v>
      </c>
      <c r="I28" s="17" t="n">
        <f aca="false">G28-H28</f>
        <v>9.92918899784569</v>
      </c>
      <c r="J28" s="22" t="n">
        <f aca="false">IF(A28&lt;=Inputs!$B$34,"",IF(AND(A28&lt;=Inputs!$B$36,Capitalization!C$18&gt;0),Inputs!$B$38,Inputs!$B$39))</f>
        <v>0.975</v>
      </c>
      <c r="K28" s="17" t="n">
        <f aca="false">IF(A28=0,-Capitalization!C$19,IF(A28&lt;=Inputs!$B$34,0,I28*J28-IF(AND(A28=Inputs!$B$36,Capitalization!C$18&gt;0),Inputs!$B$37,0)))</f>
        <v>9.68095927289954</v>
      </c>
    </row>
    <row r="29" customFormat="false" ht="15" hidden="false" customHeight="false" outlineLevel="0" collapsed="false">
      <c r="A29" s="4" t="n">
        <v>24</v>
      </c>
      <c r="B29" s="4" t="str">
        <f aca="false">IF(A29=0,"Equity",IF(A29&lt;=Inputs!$B$34,"Construction",IF(A29&lt;=Inputs!$B$34+Inputs!$B$6,"Queue wait","Grid ops")))</f>
        <v>Grid ops</v>
      </c>
      <c r="C29" s="4" t="n">
        <f aca="false">IF(A29&lt;=Inputs!$B$34,"",A29-Inputs!$B$34-1)</f>
        <v>21</v>
      </c>
      <c r="D29" s="18" t="n">
        <f aca="false">IF(A29&lt;=Inputs!$B$34,0,Inputs!$B$11*Inputs!$B$12*8760*(1-Inputs!$B$13)^C29*Inputs!$B$14*(1-Inputs!$B$15))</f>
        <v>207182.079143492</v>
      </c>
      <c r="E29" s="17" t="n">
        <f aca="false">IF(A29&lt;=Inputs!$B$34,0,IF(A29&lt;=Inputs!$B$34+Inputs!$B$6,D29*(1-Inputs!$B$23)*Inputs!$B$32/1000000,D29*Inputs!$B$31/1000000))</f>
        <v>14.9171096983314</v>
      </c>
      <c r="F29" s="17" t="n">
        <f aca="false">IF(A29&lt;=Inputs!$B$34,0,Inputs!$B$19+Inputs!$B$20+Inputs!$B$21+Inputs!$B$33*E29)</f>
        <v>5.06175664547497</v>
      </c>
      <c r="G29" s="17" t="n">
        <f aca="false">E29-F29</f>
        <v>9.85535305285645</v>
      </c>
      <c r="H29" s="11" t="n">
        <f aca="false">IF(AND(A29&gt;Inputs!$B$34,A29&lt;=Inputs!$B$34+Inputs!$B$25),Capitalization!C$12,0)</f>
        <v>0</v>
      </c>
      <c r="I29" s="17" t="n">
        <f aca="false">G29-H29</f>
        <v>9.85535305285645</v>
      </c>
      <c r="J29" s="22" t="n">
        <f aca="false">IF(A29&lt;=Inputs!$B$34,"",IF(AND(A29&lt;=Inputs!$B$36,Capitalization!C$18&gt;0),Inputs!$B$38,Inputs!$B$39))</f>
        <v>0.975</v>
      </c>
      <c r="K29" s="17" t="n">
        <f aca="false">IF(A29=0,-Capitalization!C$19,IF(A29&lt;=Inputs!$B$34,0,I29*J29-IF(AND(A29=Inputs!$B$36,Capitalization!C$18&gt;0),Inputs!$B$37,0)))</f>
        <v>9.60896922653504</v>
      </c>
    </row>
    <row r="30" customFormat="false" ht="15" hidden="false" customHeight="false" outlineLevel="0" collapsed="false">
      <c r="A30" s="4" t="n">
        <v>25</v>
      </c>
      <c r="B30" s="4" t="str">
        <f aca="false">IF(A30=0,"Equity",IF(A30&lt;=Inputs!$B$34,"Construction",IF(A30&lt;=Inputs!$B$34+Inputs!$B$6,"Queue wait","Grid ops")))</f>
        <v>Grid ops</v>
      </c>
      <c r="C30" s="4" t="n">
        <f aca="false">IF(A30&lt;=Inputs!$B$34,"",A30-Inputs!$B$34-1)</f>
        <v>22</v>
      </c>
      <c r="D30" s="18" t="n">
        <f aca="false">IF(A30&lt;=Inputs!$B$34,0,Inputs!$B$11*Inputs!$B$12*8760*(1-Inputs!$B$13)^C30*Inputs!$B$14*(1-Inputs!$B$15))</f>
        <v>206146.168747775</v>
      </c>
      <c r="E30" s="17" t="n">
        <f aca="false">IF(A30&lt;=Inputs!$B$34,0,IF(A30&lt;=Inputs!$B$34+Inputs!$B$6,D30*(1-Inputs!$B$23)*Inputs!$B$32/1000000,D30*Inputs!$B$31/1000000))</f>
        <v>14.8425241498398</v>
      </c>
      <c r="F30" s="17" t="n">
        <f aca="false">IF(A30&lt;=Inputs!$B$34,0,Inputs!$B$19+Inputs!$B$20+Inputs!$B$21+Inputs!$B$33*E30)</f>
        <v>5.0606378622476</v>
      </c>
      <c r="G30" s="17" t="n">
        <f aca="false">E30-F30</f>
        <v>9.78188628759217</v>
      </c>
      <c r="H30" s="11" t="n">
        <f aca="false">IF(AND(A30&gt;Inputs!$B$34,A30&lt;=Inputs!$B$34+Inputs!$B$25),Capitalization!C$12,0)</f>
        <v>0</v>
      </c>
      <c r="I30" s="17" t="n">
        <f aca="false">G30-H30</f>
        <v>9.78188628759217</v>
      </c>
      <c r="J30" s="22" t="n">
        <f aca="false">IF(A30&lt;=Inputs!$B$34,"",IF(AND(A30&lt;=Inputs!$B$36,Capitalization!C$18&gt;0),Inputs!$B$38,Inputs!$B$39))</f>
        <v>0.975</v>
      </c>
      <c r="K30" s="17" t="n">
        <f aca="false">IF(A30=0,-Capitalization!C$19,IF(A30&lt;=Inputs!$B$34,0,I30*J30-IF(AND(A30=Inputs!$B$36,Capitalization!C$18&gt;0),Inputs!$B$37,0)))</f>
        <v>9.53733913040237</v>
      </c>
    </row>
    <row r="31" customFormat="false" ht="15" hidden="false" customHeight="false" outlineLevel="0" collapsed="false">
      <c r="A31" s="4" t="n">
        <v>26</v>
      </c>
      <c r="B31" s="4" t="str">
        <f aca="false">IF(A31=0,"Equity",IF(A31&lt;=Inputs!$B$34,"Construction",IF(A31&lt;=Inputs!$B$34+Inputs!$B$6,"Queue wait","Grid ops")))</f>
        <v>Grid ops</v>
      </c>
      <c r="C31" s="4" t="n">
        <f aca="false">IF(A31&lt;=Inputs!$B$34,"",A31-Inputs!$B$34-1)</f>
        <v>23</v>
      </c>
      <c r="D31" s="18" t="n">
        <f aca="false">IF(A31&lt;=Inputs!$B$34,0,Inputs!$B$11*Inputs!$B$12*8760*(1-Inputs!$B$13)^C31*Inputs!$B$14*(1-Inputs!$B$15))</f>
        <v>205115.437904036</v>
      </c>
      <c r="E31" s="17" t="n">
        <f aca="false">IF(A31&lt;=Inputs!$B$34,0,IF(A31&lt;=Inputs!$B$34+Inputs!$B$6,D31*(1-Inputs!$B$23)*Inputs!$B$32/1000000,D31*Inputs!$B$31/1000000))</f>
        <v>14.7683115290906</v>
      </c>
      <c r="F31" s="17" t="n">
        <f aca="false">IF(A31&lt;=Inputs!$B$34,0,Inputs!$B$19+Inputs!$B$20+Inputs!$B$21+Inputs!$B$33*E31)</f>
        <v>5.05952467293636</v>
      </c>
      <c r="G31" s="17" t="n">
        <f aca="false">E31-F31</f>
        <v>9.70878685615421</v>
      </c>
      <c r="H31" s="11" t="n">
        <f aca="false">IF(AND(A31&gt;Inputs!$B$34,A31&lt;=Inputs!$B$34+Inputs!$B$25),Capitalization!C$12,0)</f>
        <v>0</v>
      </c>
      <c r="I31" s="17" t="n">
        <f aca="false">G31-H31</f>
        <v>9.70878685615421</v>
      </c>
      <c r="J31" s="22" t="n">
        <f aca="false">IF(A31&lt;=Inputs!$B$34,"",IF(AND(A31&lt;=Inputs!$B$36,Capitalization!C$18&gt;0),Inputs!$B$38,Inputs!$B$39))</f>
        <v>0.975</v>
      </c>
      <c r="K31" s="17" t="n">
        <f aca="false">IF(A31=0,-Capitalization!C$19,IF(A31&lt;=Inputs!$B$34,0,I31*J31-IF(AND(A31=Inputs!$B$36,Capitalization!C$18&gt;0),Inputs!$B$37,0)))</f>
        <v>9.46606718475036</v>
      </c>
    </row>
    <row r="32" customFormat="false" ht="15" hidden="false" customHeight="false" outlineLevel="0" collapsed="false">
      <c r="A32" s="4" t="n">
        <v>27</v>
      </c>
      <c r="B32" s="4" t="str">
        <f aca="false">IF(A32=0,"Equity",IF(A32&lt;=Inputs!$B$34,"Construction",IF(A32&lt;=Inputs!$B$34+Inputs!$B$6,"Queue wait","Grid ops")))</f>
        <v>Grid ops</v>
      </c>
      <c r="C32" s="4" t="n">
        <f aca="false">IF(A32&lt;=Inputs!$B$34,"",A32-Inputs!$B$34-1)</f>
        <v>24</v>
      </c>
      <c r="D32" s="18" t="n">
        <f aca="false">IF(A32&lt;=Inputs!$B$34,0,Inputs!$B$11*Inputs!$B$12*8760*(1-Inputs!$B$13)^C32*Inputs!$B$14*(1-Inputs!$B$15))</f>
        <v>204089.860714516</v>
      </c>
      <c r="E32" s="17" t="n">
        <f aca="false">IF(A32&lt;=Inputs!$B$34,0,IF(A32&lt;=Inputs!$B$34+Inputs!$B$6,D32*(1-Inputs!$B$23)*Inputs!$B$32/1000000,D32*Inputs!$B$31/1000000))</f>
        <v>14.6944699714451</v>
      </c>
      <c r="F32" s="17" t="n">
        <f aca="false">IF(A32&lt;=Inputs!$B$34,0,Inputs!$B$19+Inputs!$B$20+Inputs!$B$21+Inputs!$B$33*E32)</f>
        <v>5.05841704957168</v>
      </c>
      <c r="G32" s="17" t="n">
        <f aca="false">E32-F32</f>
        <v>9.63605292187344</v>
      </c>
      <c r="H32" s="11" t="n">
        <f aca="false">IF(AND(A32&gt;Inputs!$B$34,A32&lt;=Inputs!$B$34+Inputs!$B$25),Capitalization!C$12,0)</f>
        <v>0</v>
      </c>
      <c r="I32" s="17" t="n">
        <f aca="false">G32-H32</f>
        <v>9.63605292187344</v>
      </c>
      <c r="J32" s="22" t="n">
        <f aca="false">IF(A32&lt;=Inputs!$B$34,"",IF(AND(A32&lt;=Inputs!$B$36,Capitalization!C$18&gt;0),Inputs!$B$38,Inputs!$B$39))</f>
        <v>0.975</v>
      </c>
      <c r="K32" s="17" t="n">
        <f aca="false">IF(A32=0,-Capitalization!C$19,IF(A32&lt;=Inputs!$B$34,0,I32*J32-IF(AND(A32=Inputs!$B$36,Capitalization!C$18&gt;0),Inputs!$B$37,0)))</f>
        <v>9.39515159882661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5"/>
  </cols>
  <sheetData>
    <row r="1" customFormat="false" ht="16.15" hidden="false" customHeight="false" outlineLevel="0" collapsed="false">
      <c r="A1" s="1" t="s">
        <v>115</v>
      </c>
    </row>
    <row r="3" customFormat="false" ht="15" hidden="false" customHeight="false" outlineLevel="0" collapsed="false">
      <c r="A3" s="16" t="s">
        <v>116</v>
      </c>
    </row>
    <row r="4" customFormat="false" ht="15" hidden="false" customHeight="false" outlineLevel="0" collapsed="false">
      <c r="A4" s="4" t="s">
        <v>117</v>
      </c>
      <c r="B4" s="23" t="str">
        <f aca="false">IF(Inputs!$B$5=1,"Solar+BESS 100MW","Wind+BESS 150MW")</f>
        <v>Solar+BESS 100MW</v>
      </c>
    </row>
    <row r="5" customFormat="false" ht="15" hidden="false" customHeight="false" outlineLevel="0" collapsed="false">
      <c r="A5" s="4" t="s">
        <v>118</v>
      </c>
      <c r="B5" s="9" t="n">
        <f aca="false">Inputs!$B$6</f>
        <v>4</v>
      </c>
    </row>
    <row r="6" customFormat="false" ht="15" hidden="false" customHeight="false" outlineLevel="0" collapsed="false">
      <c r="A6" s="4" t="s">
        <v>7</v>
      </c>
      <c r="B6" s="10" t="n">
        <f aca="false">Inputs!$B$7</f>
        <v>0.3</v>
      </c>
    </row>
    <row r="7" customFormat="false" ht="15" hidden="false" customHeight="false" outlineLevel="0" collapsed="false">
      <c r="A7" s="4" t="s">
        <v>119</v>
      </c>
      <c r="B7" s="23" t="str">
        <f aca="false">IF(Inputs!$B$8=1,"ITC","PTC")</f>
        <v>ITC</v>
      </c>
    </row>
    <row r="8" customFormat="false" ht="15" hidden="false" customHeight="false" outlineLevel="0" collapsed="false">
      <c r="A8" s="4" t="s">
        <v>120</v>
      </c>
      <c r="B8" s="10" t="n">
        <f aca="false">Baseline!B2</f>
        <v>0.0389333684463198</v>
      </c>
    </row>
    <row r="9" customFormat="false" ht="15" hidden="false" customHeight="false" outlineLevel="0" collapsed="false">
      <c r="A9" s="4" t="s">
        <v>121</v>
      </c>
      <c r="B9" s="20" t="n">
        <f aca="false">'Co-location'!B2</f>
        <v>0.0424668877002928</v>
      </c>
    </row>
    <row r="10" customFormat="false" ht="15" hidden="false" customHeight="false" outlineLevel="0" collapsed="false">
      <c r="A10" s="4" t="s">
        <v>122</v>
      </c>
      <c r="B10" s="24" t="n">
        <f aca="false">('Co-location'!B2-Baseline!B2)*100</f>
        <v>0.353351925397303</v>
      </c>
    </row>
    <row r="11" customFormat="false" ht="15" hidden="false" customHeight="false" outlineLevel="0" collapsed="false">
      <c r="A11" s="16" t="s">
        <v>123</v>
      </c>
    </row>
    <row r="12" customFormat="false" ht="15" hidden="false" customHeight="false" outlineLevel="0" collapsed="false">
      <c r="A12" s="3" t="s">
        <v>124</v>
      </c>
      <c r="B12" s="3" t="s">
        <v>125</v>
      </c>
      <c r="C12" s="3" t="s">
        <v>126</v>
      </c>
      <c r="D12" s="3" t="s">
        <v>127</v>
      </c>
      <c r="E12" s="3" t="s">
        <v>128</v>
      </c>
    </row>
    <row r="13" customFormat="false" ht="15" hidden="false" customHeight="false" outlineLevel="0" collapsed="false">
      <c r="A13" s="22" t="n">
        <v>0.3</v>
      </c>
      <c r="B13" s="18" t="n">
        <v>2</v>
      </c>
      <c r="C13" s="22" t="n">
        <v>0.0675</v>
      </c>
      <c r="D13" s="22" t="n">
        <v>0.0477</v>
      </c>
      <c r="E13" s="25" t="n">
        <v>-1.98</v>
      </c>
    </row>
    <row r="14" customFormat="false" ht="15" hidden="false" customHeight="false" outlineLevel="0" collapsed="false">
      <c r="A14" s="22" t="n">
        <v>0.3</v>
      </c>
      <c r="B14" s="18" t="n">
        <v>4</v>
      </c>
      <c r="C14" s="22" t="n">
        <v>0.0389</v>
      </c>
      <c r="D14" s="22" t="n">
        <v>0.0425</v>
      </c>
      <c r="E14" s="25" t="n">
        <v>0.35</v>
      </c>
    </row>
    <row r="15" customFormat="false" ht="15" hidden="false" customHeight="false" outlineLevel="0" collapsed="false">
      <c r="A15" s="22" t="n">
        <v>0.3</v>
      </c>
      <c r="B15" s="18" t="n">
        <v>6</v>
      </c>
      <c r="C15" s="22" t="n">
        <v>0.0193</v>
      </c>
      <c r="D15" s="22" t="n">
        <v>0.0379</v>
      </c>
      <c r="E15" s="25" t="n">
        <v>1.87</v>
      </c>
    </row>
    <row r="16" customFormat="false" ht="15" hidden="false" customHeight="false" outlineLevel="0" collapsed="false">
      <c r="A16" s="22" t="n">
        <v>0.3</v>
      </c>
      <c r="B16" s="18" t="n">
        <v>8</v>
      </c>
      <c r="C16" s="22" t="n">
        <v>-0.002</v>
      </c>
      <c r="D16" s="22" t="n">
        <v>0.0323</v>
      </c>
      <c r="E16" s="25" t="n">
        <v>3.43</v>
      </c>
    </row>
    <row r="17" customFormat="false" ht="15" hidden="false" customHeight="false" outlineLevel="0" collapsed="false">
      <c r="A17" s="22" t="n">
        <v>0</v>
      </c>
      <c r="B17" s="18" t="n">
        <v>2</v>
      </c>
      <c r="C17" s="22" t="n">
        <v>-0.0084</v>
      </c>
      <c r="D17" s="22" t="n">
        <v>-0.0114</v>
      </c>
      <c r="E17" s="25" t="n">
        <v>-0.31</v>
      </c>
    </row>
    <row r="18" customFormat="false" ht="15" hidden="false" customHeight="false" outlineLevel="0" collapsed="false">
      <c r="A18" s="22" t="n">
        <v>0</v>
      </c>
      <c r="B18" s="18" t="n">
        <v>4</v>
      </c>
      <c r="C18" s="22" t="n">
        <v>-0.0201</v>
      </c>
      <c r="D18" s="22" t="n">
        <v>-0.0141</v>
      </c>
      <c r="E18" s="25" t="n">
        <v>0.6</v>
      </c>
    </row>
    <row r="19" customFormat="false" ht="15" hidden="false" customHeight="false" outlineLevel="0" collapsed="false">
      <c r="A19" s="22" t="n">
        <v>0</v>
      </c>
      <c r="B19" s="18" t="n">
        <v>6</v>
      </c>
      <c r="C19" s="22" t="n">
        <v>-0.0305</v>
      </c>
      <c r="D19" s="22" t="n">
        <v>-0.0167</v>
      </c>
      <c r="E19" s="25" t="n">
        <v>1.38</v>
      </c>
    </row>
    <row r="20" customFormat="false" ht="15" hidden="false" customHeight="false" outlineLevel="0" collapsed="false">
      <c r="A20" s="22" t="n">
        <v>0</v>
      </c>
      <c r="B20" s="18" t="n">
        <v>8</v>
      </c>
      <c r="C20" s="22" t="n">
        <v>-0.0405</v>
      </c>
      <c r="D20" s="22" t="n">
        <v>-0.0193</v>
      </c>
      <c r="E20" s="25" t="n">
        <v>2.11</v>
      </c>
    </row>
    <row r="22" customFormat="false" ht="15" hidden="false" customHeight="false" outlineLevel="0" collapsed="false">
      <c r="A22" s="16" t="s">
        <v>129</v>
      </c>
    </row>
    <row r="23" customFormat="false" ht="15" hidden="false" customHeight="false" outlineLevel="0" collapsed="false">
      <c r="A23" s="3" t="s">
        <v>124</v>
      </c>
      <c r="B23" s="3" t="s">
        <v>125</v>
      </c>
      <c r="C23" s="3" t="s">
        <v>126</v>
      </c>
      <c r="D23" s="3" t="s">
        <v>127</v>
      </c>
      <c r="E23" s="3" t="s">
        <v>128</v>
      </c>
    </row>
    <row r="24" customFormat="false" ht="15" hidden="false" customHeight="false" outlineLevel="0" collapsed="false">
      <c r="A24" s="22" t="n">
        <v>0.3</v>
      </c>
      <c r="B24" s="18" t="n">
        <v>2</v>
      </c>
      <c r="C24" s="22" t="n">
        <v>0.1092</v>
      </c>
      <c r="D24" s="22" t="n">
        <v>0.1075</v>
      </c>
      <c r="E24" s="25" t="n">
        <v>-0.18</v>
      </c>
    </row>
    <row r="25" customFormat="false" ht="15" hidden="false" customHeight="false" outlineLevel="0" collapsed="false">
      <c r="A25" s="22" t="n">
        <v>0.3</v>
      </c>
      <c r="B25" s="18" t="n">
        <v>4</v>
      </c>
      <c r="C25" s="22" t="n">
        <v>0.0734</v>
      </c>
      <c r="D25" s="22" t="n">
        <v>0.0976</v>
      </c>
      <c r="E25" s="25" t="n">
        <v>2.42</v>
      </c>
    </row>
    <row r="26" customFormat="false" ht="15" hidden="false" customHeight="false" outlineLevel="0" collapsed="false">
      <c r="A26" s="22" t="n">
        <v>0.3</v>
      </c>
      <c r="B26" s="18" t="n">
        <v>6</v>
      </c>
      <c r="C26" s="22" t="n">
        <v>0.0499</v>
      </c>
      <c r="D26" s="22" t="n">
        <v>0.0898</v>
      </c>
      <c r="E26" s="25" t="n">
        <v>4</v>
      </c>
    </row>
    <row r="27" customFormat="false" ht="15" hidden="false" customHeight="false" outlineLevel="0" collapsed="false">
      <c r="A27" s="22" t="n">
        <v>0.3</v>
      </c>
      <c r="B27" s="18" t="n">
        <v>8</v>
      </c>
      <c r="C27" s="22" t="n">
        <v>0.0254</v>
      </c>
      <c r="D27" s="22" t="n">
        <v>0.0811</v>
      </c>
      <c r="E27" s="25" t="n">
        <v>5.56</v>
      </c>
    </row>
    <row r="28" customFormat="false" ht="15" hidden="false" customHeight="false" outlineLevel="0" collapsed="false">
      <c r="A28" s="22" t="n">
        <v>0</v>
      </c>
      <c r="B28" s="18" t="n">
        <v>2</v>
      </c>
      <c r="C28" s="22" t="n">
        <v>0.0149</v>
      </c>
      <c r="D28" s="22" t="n">
        <v>0.0116</v>
      </c>
      <c r="E28" s="25" t="n">
        <v>-0.33</v>
      </c>
    </row>
    <row r="29" customFormat="false" ht="15" hidden="false" customHeight="false" outlineLevel="0" collapsed="false">
      <c r="A29" s="22" t="n">
        <v>0</v>
      </c>
      <c r="B29" s="18" t="n">
        <v>4</v>
      </c>
      <c r="C29" s="22" t="n">
        <v>0.0015</v>
      </c>
      <c r="D29" s="22" t="n">
        <v>0.0082</v>
      </c>
      <c r="E29" s="25" t="n">
        <v>0.68</v>
      </c>
    </row>
    <row r="30" customFormat="false" ht="15" hidden="false" customHeight="false" outlineLevel="0" collapsed="false">
      <c r="A30" s="22" t="n">
        <v>0</v>
      </c>
      <c r="B30" s="18" t="n">
        <v>6</v>
      </c>
      <c r="C30" s="22" t="n">
        <v>-0.0102</v>
      </c>
      <c r="D30" s="22" t="n">
        <v>0.005</v>
      </c>
      <c r="E30" s="25" t="n">
        <v>1.52</v>
      </c>
    </row>
    <row r="31" customFormat="false" ht="15" hidden="false" customHeight="false" outlineLevel="0" collapsed="false">
      <c r="A31" s="22" t="n">
        <v>0</v>
      </c>
      <c r="B31" s="18" t="n">
        <v>8</v>
      </c>
      <c r="C31" s="22" t="n">
        <v>-0.0209</v>
      </c>
      <c r="D31" s="22" t="n">
        <v>0.0019</v>
      </c>
      <c r="E31" s="25" t="n">
        <v>2.28</v>
      </c>
    </row>
    <row r="33" customFormat="false" ht="15" hidden="false" customHeight="false" outlineLevel="0" collapsed="false">
      <c r="A33" s="2" t="s">
        <v>130</v>
      </c>
    </row>
    <row r="34" customFormat="false" ht="15" hidden="false" customHeight="false" outlineLevel="0" collapsed="false">
      <c r="A34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2026-07-31T11:35:38Z</dcterms:created>
  <dc:creator>openpyxl</dc:creator>
  <dc:description/>
  <dc:language>en-US</dc:language>
  <cp:lastModifiedBy/>
  <dcterms:modified xsi:type="dcterms:W3CDTF">2026-07-31T11:35:38Z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