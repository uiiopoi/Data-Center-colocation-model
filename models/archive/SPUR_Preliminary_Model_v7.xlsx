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nfigurations" sheetId="2" state="visible" r:id="rId4"/>
    <sheet name="Capitalization" sheetId="3" state="visible" r:id="rId5"/>
    <sheet name="SolarBase" sheetId="4" state="visible" r:id="rId6"/>
    <sheet name="SolarColoc" sheetId="5" state="visible" r:id="rId7"/>
    <sheet name="WindBase" sheetId="6" state="visible" r:id="rId8"/>
    <sheet name="WindColoc" sheetId="7" state="visible" r:id="rId9"/>
    <sheet name="GeoBase" sheetId="8" state="visible" r:id="rId10"/>
    <sheet name="GeoColoc" sheetId="9" state="visible" r:id="rId11"/>
    <sheet name="Resul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<sst xmlns="http://schemas.openxmlformats.org/spreadsheetml/2006/main" count="255" uniqueCount="160">
  <si>
    <t xml:space="preserve">SPUR Preliminary Co-location Model v7 — per-configuration tabs</t>
  </si>
  <si>
    <t xml:space="preserve">Three yellow levers apply to ALL configurations simultaneously (keeps cross-config comparison consistent). Blue = editable. $ in millions.</t>
  </si>
  <si>
    <t xml:space="preserve">SCENARIO LEVERS (GLOBAL)</t>
  </si>
  <si>
    <t xml:space="preserve">Queue wait (mech. completion -&gt; COD), years</t>
  </si>
  <si>
    <t xml:space="preserve">Test 2/4/6/8 (LBNL Queued Up 2025: https://emp.lbl.gov/queues)</t>
  </si>
  <si>
    <t xml:space="preserve">ITC rate</t>
  </si>
  <si>
    <t xml:space="preserve">0% = OBBBA Scenario D (zero credit under EITHER credit type); 30% = full rate w/ PWA</t>
  </si>
  <si>
    <t xml:space="preserve">Credit type (1=ITC, 2=PTC)</t>
  </si>
  <si>
    <t xml:space="preserve">Framework 2.3.5: run both; PTC uses full depreciable basis</t>
  </si>
  <si>
    <t xml:space="preserve">SHARED PARAMETERS</t>
  </si>
  <si>
    <t xml:space="preserve">PTC rate ($/MWh, full rate w/ PWA)</t>
  </si>
  <si>
    <t xml:space="preserve">$0.015/kWh, 10-yr duration (Framework 2.3.4; inflation adjustment omitted)</t>
  </si>
  <si>
    <t xml:space="preserve">BESS delivery loss (RTE approx.)</t>
  </si>
  <si>
    <t xml:space="preserve">Annual approximation of round-trip losses</t>
  </si>
  <si>
    <t xml:space="preserve">Debt interest rate</t>
  </si>
  <si>
    <t xml:space="preserve">Framework 2.3.1: 5-7% range</t>
  </si>
  <si>
    <t xml:space="preserve">Debt tenor (years)</t>
  </si>
  <si>
    <t xml:space="preserve">Framework 2.3.1</t>
  </si>
  <si>
    <t xml:space="preserve">Target DSCR (debt sizing)</t>
  </si>
  <si>
    <t xml:space="preserve">Framework 2.7</t>
  </si>
  <si>
    <t xml:space="preserve">Max leverage (% of total capital)</t>
  </si>
  <si>
    <t xml:space="preserve">Framework 2.3.1: 50-55%; binds when DSCR-sized debt exceeds it (wind, geothermal)</t>
  </si>
  <si>
    <t xml:space="preserve">Combined tax rate (fed + CA)</t>
  </si>
  <si>
    <t xml:space="preserve">21% federal + 8.84% CA</t>
  </si>
  <si>
    <t xml:space="preserve">Tax equity pay rate (per $ benefit PV)</t>
  </si>
  <si>
    <t xml:space="preserve">TE pays ~80c per $1 PV of ITC + PTC + MACRS shield</t>
  </si>
  <si>
    <t xml:space="preserve">MACRS PV discount rate</t>
  </si>
  <si>
    <t xml:space="preserve">Assumption</t>
  </si>
  <si>
    <t xml:space="preserve">Grid hybrid PPA price ($/MWh)</t>
  </si>
  <si>
    <t xml:space="preserve">LBNL Utility-Scale Solar (hybrid PPA levels): https://emp.lbl.gov/utility-scale-solar</t>
  </si>
  <si>
    <t xml:space="preserve">BTM PPA price ($/MWh)</t>
  </si>
  <si>
    <t xml:space="preserve">~17% discount, within 10-20% industry range (Framework 4.3)</t>
  </si>
  <si>
    <t xml:space="preserve">Asset management (% of revenue)</t>
  </si>
  <si>
    <t xml:space="preserve">Framework 2.6</t>
  </si>
  <si>
    <t xml:space="preserve">Construction years</t>
  </si>
  <si>
    <t xml:space="preserve">Framework 2.1</t>
  </si>
  <si>
    <t xml:space="preserve">Flip year (calendar)</t>
  </si>
  <si>
    <t xml:space="preserve">Framework 2.8.2 default; 2.8.4 illustrative table uses 7 — testable</t>
  </si>
  <si>
    <t xml:space="preserve">Buyout at flip ($mm)</t>
  </si>
  <si>
    <t xml:space="preserve">Nominal</t>
  </si>
  <si>
    <t xml:space="preserve">NPV discount rate</t>
  </si>
  <si>
    <t xml:space="preserve">Framework 2.9.3: 8% WACC</t>
  </si>
  <si>
    <t xml:space="preserve">Developer cash share, pre-flip</t>
  </si>
  <si>
    <t xml:space="preserve">Framework 2.8.2</t>
  </si>
  <si>
    <t xml:space="preserve">Developer cash share, post-flip</t>
  </si>
  <si>
    <t xml:space="preserve">Configuration library — each parameter feeds its configuration's tabs directly</t>
  </si>
  <si>
    <t xml:space="preserve">Parameter</t>
  </si>
  <si>
    <t xml:space="preserve">Solar+BESS 100MW</t>
  </si>
  <si>
    <t xml:space="preserve">Wind+BESS 150MW</t>
  </si>
  <si>
    <t xml:space="preserve">Geothermal+BESS 100MW</t>
  </si>
  <si>
    <t xml:space="preserve">Source / note</t>
  </si>
  <si>
    <t xml:space="preserve">Capacity (MW)</t>
  </si>
  <si>
    <t xml:space="preserve">Solar/Geothermal: Framework 2.2.1. Wind: 150 MW scale variant (user-specified)</t>
  </si>
  <si>
    <t xml:space="preserve">Capacity factor</t>
  </si>
  <si>
    <t xml:space="preserve">Solar: CA midpoint. Wind: upper Tehachapi 30-35%. Geothermal: 90%+ Salton Sea/Imperial Valley (NREL ATB 2024: https://atb.nrel.gov/electricity/2024/technologies)</t>
  </si>
  <si>
    <t xml:space="preserve">Annual degradation</t>
  </si>
  <si>
    <t xml:space="preserve">Framework 2.5.2 (geothermal ~0%)</t>
  </si>
  <si>
    <t xml:space="preserve">Availability</t>
  </si>
  <si>
    <t xml:space="preserve">Framework 2.5.2</t>
  </si>
  <si>
    <t xml:space="preserve">Electrical losses</t>
  </si>
  <si>
    <t xml:space="preserve">Total CAPEX ($mm)</t>
  </si>
  <si>
    <t xml:space="preserve">Solar: Framework 2.2.3. Wind: $1,350/kW x150 + BESS 75MW/300MWh @$1,250/kW + dev 4% + land + intercon. Geothermal: $5,000/kW x100 + BESS 25MW/50MWh + dev 4% + land + intercon (NREL ATB 2024 midpoints)</t>
  </si>
  <si>
    <t xml:space="preserve">Qualified investment ($mm)</t>
  </si>
  <si>
    <t xml:space="preserve">Generation + BESS only (Framework 2.2.4)</t>
  </si>
  <si>
    <t xml:space="preserve">Microgrid CAPEX ($mm)</t>
  </si>
  <si>
    <t xml:space="preserve">$120/kW midpoint of $50-150/kW x capacity</t>
  </si>
  <si>
    <t xml:space="preserve">Fixed O&amp;M, gen + BESS ($mm/yr)</t>
  </si>
  <si>
    <t xml:space="preserve">Framework 2.6 midpoints per configuration</t>
  </si>
  <si>
    <t xml:space="preserve">Land lease + insurance ($mm/yr)</t>
  </si>
  <si>
    <t xml:space="preserve">$0.3mm land + 0.4% of CAPEX insurance</t>
  </si>
  <si>
    <t xml:space="preserve">Microgrid O&amp;M ($mm/yr)</t>
  </si>
  <si>
    <t xml:space="preserve">$7.5/kW-yr x capacity</t>
  </si>
  <si>
    <t xml:space="preserve">Operating life (years)</t>
  </si>
  <si>
    <t xml:space="preserve">Framework 2.1: 25 yrs solar/wind, 30 yrs geothermal</t>
  </si>
  <si>
    <t xml:space="preserve">Notes: (1) Model finds ITC &gt; PTC for all three configurations at these parameters — for geothermal this contradicts Framework 2.3.5's</t>
  </si>
  <si>
    <t xml:space="preserve">expectation; sensitive to the omitted PTC inflation adjustment and the 7% discount on the PTC stream. (2) Geothermal faces no near-term</t>
  </si>
  <si>
    <t xml:space="preserve">OBBBA deadline (phaseout from 2034), so the 0% ITC scenario is a stress test rather than a live policy risk for that configuration.</t>
  </si>
  <si>
    <t xml:space="preserve">Capitalization — debt = MIN(DSCR-sized, max leverage x capital); tax equity sized to ITC/PTC + MACRS shield</t>
  </si>
  <si>
    <t xml:space="preserve">Solar Base</t>
  </si>
  <si>
    <t xml:space="preserve">Solar Coloc</t>
  </si>
  <si>
    <t xml:space="preserve">Wind Base</t>
  </si>
  <si>
    <t xml:space="preserve">Wind Coloc</t>
  </si>
  <si>
    <t xml:space="preserve">Geo Base</t>
  </si>
  <si>
    <t xml:space="preserve">Geo Coloc</t>
  </si>
  <si>
    <t xml:space="preserve">Total capital required ($mm)</t>
  </si>
  <si>
    <t xml:space="preserve">First grid-year net energy (MWh)</t>
  </si>
  <si>
    <t xml:space="preserve">First grid-year revenue ($mm)</t>
  </si>
  <si>
    <t xml:space="preserve">First grid-year OPEX ($mm)</t>
  </si>
  <si>
    <t xml:space="preserve">First grid-year EBITDA ($mm)</t>
  </si>
  <si>
    <t xml:space="preserve">Max debt service @ DSCR ($mm/yr)</t>
  </si>
  <si>
    <t xml:space="preserve">DSCR-sized debt ($mm)</t>
  </si>
  <si>
    <t xml:space="preserve">Senior debt after leverage cap ($mm)</t>
  </si>
  <si>
    <t xml:space="preserve">Actual debt service ($mm/yr)</t>
  </si>
  <si>
    <t xml:space="preserve">ITC amount ($mm)</t>
  </si>
  <si>
    <t xml:space="preserve">PTC start year (calendar)</t>
  </si>
  <si>
    <t xml:space="preserve">PTC stream PV ($mm)</t>
  </si>
  <si>
    <t xml:space="preserve">Depreciable basis ($mm)</t>
  </si>
  <si>
    <t xml:space="preserve">MACRS shield PV ($mm)</t>
  </si>
  <si>
    <t xml:space="preserve">Tax equity contribution ($mm)</t>
  </si>
  <si>
    <t xml:space="preserve">Developer equity ($mm)</t>
  </si>
  <si>
    <t xml:space="preserve">PTC start assumption: baseline is not placed in service while idle (PTC begins at COD); co-location BTM operation is assumed</t>
  </si>
  <si>
    <t xml:space="preserve">to qualify as placed in service (PTC begins at mechanical completion). Open tax question — validate in practitioner interviews.</t>
  </si>
  <si>
    <t xml:space="preserve">MACRS 5-yr schedule (Framework 2.3.3)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</si>
  <si>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</si>
  <si>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</si>
  <si>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</si>
  <si>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</si>
  <si>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</si>
  <si>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</si>
  <si>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SolarBase — annual cash flow waterfall ($mm)</t>
  </si>
  <si>
    <t xml:space="preserve">Developer levered IRR:</t>
  </si>
  <si>
    <t xml:space="preserve">Unlevered (project) IRR:</t>
  </si>
  <si>
    <t xml:space="preserve">NPV of dev cash @ discount rate ($mm):</t>
  </si>
  <si>
    <t xml:space="preserve">Year</t>
  </si>
  <si>
    <t xml:space="preserve">Phase</t>
  </si>
  <si>
    <t xml:space="preserve">Op yr</t>
  </si>
  <si>
    <t xml:space="preserve">Net energy (MWh)</t>
  </si>
  <si>
    <t xml:space="preserve">Revenue</t>
  </si>
  <si>
    <t xml:space="preserve">OPEX</t>
  </si>
  <si>
    <t xml:space="preserve">EBITDA</t>
  </si>
  <si>
    <t xml:space="preserve">Debt service</t>
  </si>
  <si>
    <t xml:space="preserve">Distributable cash</t>
  </si>
  <si>
    <t xml:space="preserve">Dev share</t>
  </si>
  <si>
    <t xml:space="preserve">Dev cash flow</t>
  </si>
  <si>
    <t xml:space="preserve">DSCR</t>
  </si>
  <si>
    <t xml:space="preserve">Project CF (unlevered)</t>
  </si>
  <si>
    <t xml:space="preserve">SolarColoc — annual cash flow waterfall ($mm)</t>
  </si>
  <si>
    <t xml:space="preserve">WindBase — annual cash flow waterfall ($mm)</t>
  </si>
  <si>
    <t xml:space="preserve">WindColoc — annual cash flow waterfall ($mm)</t>
  </si>
  <si>
    <t xml:space="preserve">GeoBase — annual cash flow waterfall ($mm)</t>
  </si>
  <si>
    <t xml:space="preserve">GeoColoc — annual cash flow waterfall ($mm)</t>
  </si>
  <si>
    <t xml:space="preserve">Results — all three configurations side by side (live; global levers on Inputs)</t>
  </si>
  <si>
    <t xml:space="preserve">Baseline developer levered IRR</t>
  </si>
  <si>
    <t xml:space="preserve">Co-location developer levered IRR</t>
  </si>
  <si>
    <t xml:space="preserve">Delta IRR (co-location - baseline), pp</t>
  </si>
  <si>
    <t xml:space="preserve">Baseline unlevered (project) IRR</t>
  </si>
  <si>
    <t xml:space="preserve">Co-location unlevered (project) IRR</t>
  </si>
  <si>
    <t xml:space="preserve">Baseline NPV of dev cash ($mm)</t>
  </si>
  <si>
    <t xml:space="preserve">Co-location NPV of dev cash ($mm)</t>
  </si>
  <si>
    <t xml:space="preserve">VALUE BRIDGE — dollar impact of co-location over the queue-wait window (live)</t>
  </si>
  <si>
    <t xml:space="preserve">Queue-wait revenue uplift, total ($mm)</t>
  </si>
  <si>
    <t xml:space="preserve">Queue-wait revenue uplift, per year ($mm/yr)</t>
  </si>
  <si>
    <t xml:space="preserve">Queue-wait EBITDA uplift, total ($mm)</t>
  </si>
  <si>
    <t xml:space="preserve">Queue-wait developer cash uplift, total ($mm)</t>
  </si>
  <si>
    <t xml:space="preserve">vs. Microgrid CAPEX ($mm)</t>
  </si>
  <si>
    <t xml:space="preserve">vs. Incremental developer equity ($mm)</t>
  </si>
  <si>
    <t xml:space="preserve">Delta NPV of developer cash ($mm)</t>
  </si>
  <si>
    <t xml:space="preserve">Reading: revenue uplift = what the queue-wait window earns instead of $0; EBITDA uplift nets out the full O&amp;M an operating plant</t>
  </si>
  <si>
    <t xml:space="preserve">incurs; developer cash uplift applies the pre-flip 70% share (debt service is identical, so it cancels). Delta NPV is the single-number summary.</t>
  </si>
  <si>
    <t xml:space="preserve">Scenario sweep — Solar+BESS 100MW (ITC pathway, flip yr 6; reproduce via Inputs levers)</t>
  </si>
  <si>
    <t xml:space="preserve">ITC</t>
  </si>
  <si>
    <t xml:space="preserve">Queue (yrs)</t>
  </si>
  <si>
    <t xml:space="preserve">Baseline IRR</t>
  </si>
  <si>
    <t xml:space="preserve">Co-location IRR</t>
  </si>
  <si>
    <t xml:space="preserve">Delta (pp)</t>
  </si>
  <si>
    <t xml:space="preserve">Scenario sweep — Wind+BESS 150MW (ITC pathway, flip yr 6; reproduce via Inputs levers)</t>
  </si>
  <si>
    <t xml:space="preserve">Scenario sweep — Geothermal+BESS 100MW (ITC pathway, flip yr 6; reproduce via Inputs levers)</t>
  </si>
  <si>
    <t xml:space="preserve">Takeaways: Q* ~3.5 yrs (solar), ~2.2 yrs (wind), &lt;2 yrs (geothermal, 30% ITC). Delta IRR rises with capacity factor — geothermal shows the</t>
  </si>
  <si>
    <t xml:space="preserve">LARGEST improvement (+4.4 to +10.7pp), contradicting H1's expectation of the smallest: the delta is driven by energy monetized per queue</t>
  </si>
  <si>
    <t xml:space="preserve">year, not by baseline IRR level. ITC beats PTC for all three configs at these parameters (PTC inflation adjustment omitted — caveat).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</si>
</sst>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0.00\x"/>
    <numFmt numFmtId="169" formatCode="\$#,##0.00;&quot;($&quot;#,##0.00\);\-"/>
    <numFmt numFmtId="170" formatCode="0.00%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0.3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1</v>
      </c>
      <c r="C7" s="6" t="s">
        <v>8</v>
      </c>
    </row>
    <row r="8" customFormat="false" ht="15" hidden="false" customHeight="false" outlineLevel="0" collapsed="false">
      <c r="A8" s="3" t="s">
        <v>9</v>
      </c>
    </row>
    <row r="9" customFormat="false" ht="15" hidden="false" customHeight="false" outlineLevel="0" collapsed="false">
      <c r="A9" s="4" t="s">
        <v>10</v>
      </c>
      <c r="B9" s="8" t="n">
        <v>15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9" t="n">
        <v>0.01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9" t="n">
        <v>0.055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10" t="n">
        <v>20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11" t="n">
        <v>1.35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9" t="n">
        <v>0.55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9" t="n">
        <v>0.2984</v>
      </c>
      <c r="C15" s="6" t="s">
        <v>23</v>
      </c>
    </row>
    <row r="16" customFormat="false" ht="15" hidden="false" customHeight="false" outlineLevel="0" collapsed="false">
      <c r="A16" s="4" t="s">
        <v>24</v>
      </c>
      <c r="B16" s="9" t="n">
        <v>0.8</v>
      </c>
      <c r="C16" s="6" t="s">
        <v>25</v>
      </c>
    </row>
    <row r="17" customFormat="false" ht="15" hidden="false" customHeight="false" outlineLevel="0" collapsed="false">
      <c r="A17" s="4" t="s">
        <v>26</v>
      </c>
      <c r="B17" s="9" t="n">
        <v>0.07</v>
      </c>
      <c r="C17" s="6" t="s">
        <v>27</v>
      </c>
    </row>
    <row r="18" customFormat="false" ht="15" hidden="false" customHeight="false" outlineLevel="0" collapsed="false">
      <c r="A18" s="4" t="s">
        <v>28</v>
      </c>
      <c r="B18" s="8" t="n">
        <v>72</v>
      </c>
      <c r="C18" s="6" t="s">
        <v>29</v>
      </c>
    </row>
    <row r="19" customFormat="false" ht="15" hidden="false" customHeight="false" outlineLevel="0" collapsed="false">
      <c r="A19" s="4" t="s">
        <v>30</v>
      </c>
      <c r="B19" s="8" t="n">
        <v>60</v>
      </c>
      <c r="C19" s="6" t="s">
        <v>31</v>
      </c>
    </row>
    <row r="20" customFormat="false" ht="15" hidden="false" customHeight="false" outlineLevel="0" collapsed="false">
      <c r="A20" s="4" t="s">
        <v>32</v>
      </c>
      <c r="B20" s="9" t="n">
        <v>0.015</v>
      </c>
      <c r="C20" s="6" t="s">
        <v>33</v>
      </c>
    </row>
    <row r="21" customFormat="false" ht="15" hidden="false" customHeight="false" outlineLevel="0" collapsed="false">
      <c r="A21" s="4" t="s">
        <v>34</v>
      </c>
      <c r="B21" s="10" t="n">
        <v>2</v>
      </c>
      <c r="C21" s="6" t="s">
        <v>35</v>
      </c>
    </row>
    <row r="22" customFormat="false" ht="15" hidden="false" customHeight="false" outlineLevel="0" collapsed="false">
      <c r="A22" s="4" t="s">
        <v>36</v>
      </c>
      <c r="B22" s="10" t="n">
        <v>6</v>
      </c>
      <c r="C22" s="6" t="s">
        <v>37</v>
      </c>
    </row>
    <row r="23" customFormat="false" ht="15" hidden="false" customHeight="false" outlineLevel="0" collapsed="false">
      <c r="A23" s="4" t="s">
        <v>38</v>
      </c>
      <c r="B23" s="12" t="n">
        <v>1</v>
      </c>
      <c r="C23" s="6" t="s">
        <v>39</v>
      </c>
    </row>
    <row r="24" customFormat="false" ht="15" hidden="false" customHeight="false" outlineLevel="0" collapsed="false">
      <c r="A24" s="4" t="s">
        <v>40</v>
      </c>
      <c r="B24" s="9" t="n">
        <v>0.08</v>
      </c>
      <c r="C24" s="6" t="s">
        <v>41</v>
      </c>
    </row>
    <row r="25" customFormat="false" ht="15" hidden="false" customHeight="false" outlineLevel="0" collapsed="false">
      <c r="A25" s="4" t="s">
        <v>42</v>
      </c>
      <c r="B25" s="9" t="n">
        <v>0.7</v>
      </c>
      <c r="C25" s="6" t="s">
        <v>43</v>
      </c>
    </row>
    <row r="26" customFormat="false" ht="15" hidden="false" customHeight="false" outlineLevel="0" collapsed="false">
      <c r="A26" s="4" t="s">
        <v>44</v>
      </c>
      <c r="B26" s="9" t="n">
        <v>0.975</v>
      </c>
      <c r="C26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100"/>
  </cols>
  <sheetData>
    <row r="1" customFormat="false" ht="16.15" hidden="false" customHeight="false" outlineLevel="0" collapsed="false">
      <c r="A1" s="1" t="s">
        <v>45</v>
      </c>
    </row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</row>
    <row r="4" customFormat="false" ht="15" hidden="false" customHeight="false" outlineLevel="0" collapsed="false">
      <c r="A4" s="4" t="s">
        <v>51</v>
      </c>
      <c r="B4" s="10" t="n">
        <v>100</v>
      </c>
      <c r="C4" s="10" t="n">
        <v>150</v>
      </c>
      <c r="D4" s="10" t="n">
        <v>100</v>
      </c>
      <c r="E4" s="6" t="s">
        <v>52</v>
      </c>
    </row>
    <row r="5" customFormat="false" ht="15" hidden="false" customHeight="false" outlineLevel="0" collapsed="false">
      <c r="A5" s="4" t="s">
        <v>53</v>
      </c>
      <c r="B5" s="9" t="n">
        <v>0.275</v>
      </c>
      <c r="C5" s="9" t="n">
        <v>0.35</v>
      </c>
      <c r="D5" s="9" t="n">
        <v>0.9</v>
      </c>
      <c r="E5" s="6" t="s">
        <v>54</v>
      </c>
    </row>
    <row r="6" customFormat="false" ht="15" hidden="false" customHeight="false" outlineLevel="0" collapsed="false">
      <c r="A6" s="4" t="s">
        <v>55</v>
      </c>
      <c r="B6" s="9" t="n">
        <v>0.005</v>
      </c>
      <c r="C6" s="9" t="n">
        <v>0.002</v>
      </c>
      <c r="D6" s="9" t="n">
        <v>0</v>
      </c>
      <c r="E6" s="6" t="s">
        <v>56</v>
      </c>
    </row>
    <row r="7" customFormat="false" ht="15" hidden="false" customHeight="false" outlineLevel="0" collapsed="false">
      <c r="A7" s="4" t="s">
        <v>57</v>
      </c>
      <c r="B7" s="9" t="n">
        <v>0.98</v>
      </c>
      <c r="C7" s="9" t="n">
        <v>0.96</v>
      </c>
      <c r="D7" s="9" t="n">
        <v>0.95</v>
      </c>
      <c r="E7" s="6" t="s">
        <v>58</v>
      </c>
    </row>
    <row r="8" customFormat="false" ht="15" hidden="false" customHeight="false" outlineLevel="0" collapsed="false">
      <c r="A8" s="4" t="s">
        <v>59</v>
      </c>
      <c r="B8" s="9" t="n">
        <v>0.025</v>
      </c>
      <c r="C8" s="9" t="n">
        <v>0.025</v>
      </c>
      <c r="D8" s="9" t="n">
        <v>0.025</v>
      </c>
      <c r="E8" s="6" t="s">
        <v>58</v>
      </c>
    </row>
    <row r="9" customFormat="false" ht="15" hidden="false" customHeight="false" outlineLevel="0" collapsed="false">
      <c r="A9" s="4" t="s">
        <v>60</v>
      </c>
      <c r="B9" s="12" t="n">
        <v>197</v>
      </c>
      <c r="C9" s="12" t="n">
        <v>321.4</v>
      </c>
      <c r="D9" s="12" t="n">
        <v>568.25</v>
      </c>
      <c r="E9" s="6" t="s">
        <v>61</v>
      </c>
    </row>
    <row r="10" customFormat="false" ht="15" hidden="false" customHeight="false" outlineLevel="0" collapsed="false">
      <c r="A10" s="4" t="s">
        <v>62</v>
      </c>
      <c r="B10" s="12" t="n">
        <v>180</v>
      </c>
      <c r="C10" s="12" t="n">
        <v>296.25</v>
      </c>
      <c r="D10" s="12" t="n">
        <v>531.25</v>
      </c>
      <c r="E10" s="6" t="s">
        <v>63</v>
      </c>
    </row>
    <row r="11" customFormat="false" ht="15" hidden="false" customHeight="false" outlineLevel="0" collapsed="false">
      <c r="A11" s="4" t="s">
        <v>64</v>
      </c>
      <c r="B11" s="12" t="n">
        <v>12</v>
      </c>
      <c r="C11" s="12" t="n">
        <v>18</v>
      </c>
      <c r="D11" s="12" t="n">
        <v>12</v>
      </c>
      <c r="E11" s="6" t="s">
        <v>65</v>
      </c>
    </row>
    <row r="12" customFormat="false" ht="15" hidden="false" customHeight="false" outlineLevel="0" collapsed="false">
      <c r="A12" s="4" t="s">
        <v>66</v>
      </c>
      <c r="B12" s="12" t="n">
        <v>3</v>
      </c>
      <c r="C12" s="12" t="n">
        <v>6.375</v>
      </c>
      <c r="D12" s="12" t="n">
        <v>4.625</v>
      </c>
      <c r="E12" s="6" t="s">
        <v>67</v>
      </c>
    </row>
    <row r="13" customFormat="false" ht="15" hidden="false" customHeight="false" outlineLevel="0" collapsed="false">
      <c r="A13" s="4" t="s">
        <v>68</v>
      </c>
      <c r="B13" s="12" t="n">
        <v>1.088</v>
      </c>
      <c r="C13" s="12" t="n">
        <v>1.586</v>
      </c>
      <c r="D13" s="12" t="n">
        <v>2.573</v>
      </c>
      <c r="E13" s="6" t="s">
        <v>69</v>
      </c>
    </row>
    <row r="14" customFormat="false" ht="15" hidden="false" customHeight="false" outlineLevel="0" collapsed="false">
      <c r="A14" s="4" t="s">
        <v>70</v>
      </c>
      <c r="B14" s="12" t="n">
        <v>0.75</v>
      </c>
      <c r="C14" s="12" t="n">
        <v>1.125</v>
      </c>
      <c r="D14" s="12" t="n">
        <v>0.75</v>
      </c>
      <c r="E14" s="6" t="s">
        <v>71</v>
      </c>
    </row>
    <row r="15" customFormat="false" ht="15" hidden="false" customHeight="false" outlineLevel="0" collapsed="false">
      <c r="A15" s="4" t="s">
        <v>72</v>
      </c>
      <c r="B15" s="10" t="n">
        <v>25</v>
      </c>
      <c r="C15" s="10" t="n">
        <v>25</v>
      </c>
      <c r="D15" s="10" t="n">
        <v>30</v>
      </c>
      <c r="E15" s="6" t="s">
        <v>73</v>
      </c>
    </row>
    <row r="18" customFormat="false" ht="15" hidden="false" customHeight="false" outlineLevel="0" collapsed="false">
      <c r="A18" s="2" t="s">
        <v>74</v>
      </c>
    </row>
    <row r="19" customFormat="false" ht="15" hidden="false" customHeight="false" outlineLevel="0" collapsed="false">
      <c r="A19" s="2" t="s">
        <v>75</v>
      </c>
    </row>
    <row r="20" customFormat="false" ht="15" hidden="false" customHeight="false" outlineLevel="0" collapsed="false">
      <c r="A20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77</v>
      </c>
    </row>
    <row r="3" customFormat="false" ht="15" hidden="false" customHeight="false" outlineLevel="0" collapsed="false"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</row>
    <row r="4" customFormat="false" ht="15" hidden="false" customHeight="false" outlineLevel="0" collapsed="false">
      <c r="A4" s="4" t="s">
        <v>84</v>
      </c>
      <c r="B4" s="13" t="n">
        <f aca="false">Configurations!$B$9</f>
        <v>197</v>
      </c>
      <c r="C4" s="13" t="n">
        <f aca="false">Configurations!$B$9+Configurations!$B$11</f>
        <v>209</v>
      </c>
      <c r="D4" s="13" t="n">
        <f aca="false">Configurations!$C$9</f>
        <v>321.4</v>
      </c>
      <c r="E4" s="13" t="n">
        <f aca="false">Configurations!$C$9+Configurations!$C$11</f>
        <v>339.4</v>
      </c>
      <c r="F4" s="13" t="n">
        <f aca="false">Configurations!$D$9</f>
        <v>568.25</v>
      </c>
      <c r="G4" s="13" t="n">
        <f aca="false">Configurations!$D$9+Configurations!$D$11</f>
        <v>580.25</v>
      </c>
    </row>
    <row r="5" customFormat="false" ht="15" hidden="false" customHeight="false" outlineLevel="0" collapsed="false">
      <c r="A5" s="4" t="s">
        <v>85</v>
      </c>
      <c r="B5" s="14" t="n">
        <f aca="false">Configurations!$B$4*Configurations!$B$5*8760*Configurations!$B$7*(1-Configurations!$B$8)</f>
        <v>230179.95</v>
      </c>
      <c r="C5" s="14" t="n">
        <f aca="false">Configurations!$B$4*Configurations!$B$5*8760*Configurations!$B$7*(1-Configurations!$B$8)</f>
        <v>230179.95</v>
      </c>
      <c r="D5" s="14" t="n">
        <f aca="false">Configurations!$C$4*Configurations!$C$5*8760*Configurations!$C$7*(1-Configurations!$C$8)</f>
        <v>430466.4</v>
      </c>
      <c r="E5" s="14" t="n">
        <f aca="false">Configurations!$C$4*Configurations!$C$5*8760*Configurations!$C$7*(1-Configurations!$C$8)</f>
        <v>430466.4</v>
      </c>
      <c r="F5" s="14" t="n">
        <f aca="false">Configurations!$D$4*Configurations!$D$5*8760*Configurations!$D$7*(1-Configurations!$D$8)</f>
        <v>730255.5</v>
      </c>
      <c r="G5" s="14" t="n">
        <f aca="false">Configurations!$D$4*Configurations!$D$5*8760*Configurations!$D$7*(1-Configurations!$D$8)</f>
        <v>730255.5</v>
      </c>
    </row>
    <row r="6" customFormat="false" ht="15" hidden="false" customHeight="false" outlineLevel="0" collapsed="false">
      <c r="A6" s="4" t="s">
        <v>86</v>
      </c>
      <c r="B6" s="13" t="n">
        <f aca="false">B5*Inputs!$B$18/1000000</f>
        <v>16.5729564</v>
      </c>
      <c r="C6" s="13" t="n">
        <f aca="false">C5*Inputs!$B$18/1000000</f>
        <v>16.5729564</v>
      </c>
      <c r="D6" s="13" t="n">
        <f aca="false">D5*Inputs!$B$18/1000000</f>
        <v>30.9935808</v>
      </c>
      <c r="E6" s="13" t="n">
        <f aca="false">E5*Inputs!$B$18/1000000</f>
        <v>30.9935808</v>
      </c>
      <c r="F6" s="13" t="n">
        <f aca="false">F5*Inputs!$B$18/1000000</f>
        <v>52.578396</v>
      </c>
      <c r="G6" s="13" t="n">
        <f aca="false">G5*Inputs!$B$18/1000000</f>
        <v>52.578396</v>
      </c>
    </row>
    <row r="7" customFormat="false" ht="15" hidden="false" customHeight="false" outlineLevel="0" collapsed="false">
      <c r="A7" s="4" t="s">
        <v>87</v>
      </c>
      <c r="B7" s="13" t="n">
        <f aca="false">Configurations!$B$12+Configurations!$B$13+Inputs!$B$20*B6</f>
        <v>4.336594346</v>
      </c>
      <c r="C7" s="13" t="n">
        <f aca="false">Configurations!$B$12+Configurations!$B$13+Configurations!$B$14+Inputs!$B$20*C6</f>
        <v>5.086594346</v>
      </c>
      <c r="D7" s="13" t="n">
        <f aca="false">Configurations!$C$12+Configurations!$C$13+Inputs!$B$20*D6</f>
        <v>8.425903712</v>
      </c>
      <c r="E7" s="13" t="n">
        <f aca="false">Configurations!$C$12+Configurations!$C$13+Configurations!$C$14+Inputs!$B$20*E6</f>
        <v>9.550903712</v>
      </c>
      <c r="F7" s="13" t="n">
        <f aca="false">Configurations!$D$12+Configurations!$D$13+Inputs!$B$20*F6</f>
        <v>7.98667594</v>
      </c>
      <c r="G7" s="13" t="n">
        <f aca="false">Configurations!$D$12+Configurations!$D$13+Configurations!$D$14+Inputs!$B$20*G6</f>
        <v>8.73667594</v>
      </c>
    </row>
    <row r="8" customFormat="false" ht="15" hidden="false" customHeight="false" outlineLevel="0" collapsed="false">
      <c r="A8" s="4" t="s">
        <v>88</v>
      </c>
      <c r="B8" s="13" t="n">
        <f aca="false">B6-B7</f>
        <v>12.236362054</v>
      </c>
      <c r="C8" s="13" t="n">
        <f aca="false">C6-C7</f>
        <v>11.486362054</v>
      </c>
      <c r="D8" s="13" t="n">
        <f aca="false">D6-D7</f>
        <v>22.567677088</v>
      </c>
      <c r="E8" s="13" t="n">
        <f aca="false">E6-E7</f>
        <v>21.442677088</v>
      </c>
      <c r="F8" s="13" t="n">
        <f aca="false">F6-F7</f>
        <v>44.59172006</v>
      </c>
      <c r="G8" s="13" t="n">
        <f aca="false">G6-G7</f>
        <v>43.84172006</v>
      </c>
    </row>
    <row r="9" customFormat="false" ht="15" hidden="false" customHeight="false" outlineLevel="0" collapsed="false">
      <c r="A9" s="4" t="s">
        <v>89</v>
      </c>
      <c r="B9" s="13" t="n">
        <f aca="false">B8/Inputs!$B$13</f>
        <v>9.06397189185185</v>
      </c>
      <c r="C9" s="13" t="n">
        <f aca="false">C8/Inputs!$B$13</f>
        <v>8.50841633629629</v>
      </c>
      <c r="D9" s="13" t="n">
        <f aca="false">D8/Inputs!$B$13</f>
        <v>16.716797842963</v>
      </c>
      <c r="E9" s="13" t="n">
        <f aca="false">E8/Inputs!$B$13</f>
        <v>15.8834645096296</v>
      </c>
      <c r="F9" s="13" t="n">
        <f aca="false">F8/Inputs!$B$13</f>
        <v>33.0309037481482</v>
      </c>
      <c r="G9" s="13" t="n">
        <f aca="false">G8/Inputs!$B$13</f>
        <v>32.4753481925926</v>
      </c>
    </row>
    <row r="10" customFormat="false" ht="15" hidden="false" customHeight="false" outlineLevel="0" collapsed="false">
      <c r="A10" s="4" t="s">
        <v>90</v>
      </c>
      <c r="B10" s="13" t="n">
        <f aca="false">B9*(1-(1+Inputs!$B$11)^-Inputs!$B$12)/Inputs!$B$11</f>
        <v>108.317930940269</v>
      </c>
      <c r="C10" s="13" t="n">
        <f aca="false">C9*(1-(1+Inputs!$B$11)^-Inputs!$B$12)/Inputs!$B$11</f>
        <v>101.678829559753</v>
      </c>
      <c r="D10" s="13" t="n">
        <f aca="false">D9*(1-(1+Inputs!$B$11)^-Inputs!$B$12)/Inputs!$B$11</f>
        <v>199.772128146632</v>
      </c>
      <c r="E10" s="13" t="n">
        <f aca="false">E9*(1-(1+Inputs!$B$11)^-Inputs!$B$12)/Inputs!$B$11</f>
        <v>189.813476075858</v>
      </c>
      <c r="F10" s="13" t="n">
        <f aca="false">F9*(1-(1+Inputs!$B$11)^-Inputs!$B$12)/Inputs!$B$11</f>
        <v>394.731933613222</v>
      </c>
      <c r="G10" s="13" t="n">
        <f aca="false">G9*(1-(1+Inputs!$B$11)^-Inputs!$B$12)/Inputs!$B$11</f>
        <v>388.092832232706</v>
      </c>
    </row>
    <row r="11" customFormat="false" ht="15" hidden="false" customHeight="false" outlineLevel="0" collapsed="false">
      <c r="A11" s="4" t="s">
        <v>91</v>
      </c>
      <c r="B11" s="13" t="n">
        <f aca="false">MIN(B10,Inputs!$B$14*B4)</f>
        <v>108.317930940269</v>
      </c>
      <c r="C11" s="13" t="n">
        <f aca="false">MIN(C10,Inputs!$B$14*C4)</f>
        <v>101.678829559753</v>
      </c>
      <c r="D11" s="13" t="n">
        <f aca="false">MIN(D10,Inputs!$B$14*D4)</f>
        <v>176.77</v>
      </c>
      <c r="E11" s="13" t="n">
        <f aca="false">MIN(E10,Inputs!$B$14*E4)</f>
        <v>186.67</v>
      </c>
      <c r="F11" s="13" t="n">
        <f aca="false">MIN(F10,Inputs!$B$14*F4)</f>
        <v>312.5375</v>
      </c>
      <c r="G11" s="13" t="n">
        <f aca="false">MIN(G10,Inputs!$B$14*G4)</f>
        <v>319.1375</v>
      </c>
    </row>
    <row r="12" customFormat="false" ht="15" hidden="false" customHeight="false" outlineLevel="0" collapsed="false">
      <c r="A12" s="4" t="s">
        <v>92</v>
      </c>
      <c r="B12" s="13" t="n">
        <f aca="false">B11/((1-(1+Inputs!$B$11)^-Inputs!$B$12)/Inputs!$B$11)</f>
        <v>9.06397189185185</v>
      </c>
      <c r="C12" s="13" t="n">
        <f aca="false">C11/((1-(1+Inputs!$B$11)^-Inputs!$B$12)/Inputs!$B$11)</f>
        <v>8.50841633629629</v>
      </c>
      <c r="D12" s="13" t="n">
        <f aca="false">D11/((1-(1+Inputs!$B$11)^-Inputs!$B$12)/Inputs!$B$11)</f>
        <v>14.7919951702751</v>
      </c>
      <c r="E12" s="13" t="n">
        <f aca="false">E11/((1-(1+Inputs!$B$11)^-Inputs!$B$12)/Inputs!$B$11)</f>
        <v>15.620420537621</v>
      </c>
      <c r="F12" s="13" t="n">
        <f aca="false">F11/((1-(1+Inputs!$B$11)^-Inputs!$B$12)/Inputs!$B$11)</f>
        <v>26.1529286107929</v>
      </c>
      <c r="G12" s="13" t="n">
        <f aca="false">G11/((1-(1+Inputs!$B$11)^-Inputs!$B$12)/Inputs!$B$11)</f>
        <v>26.7052121890235</v>
      </c>
    </row>
    <row r="13" customFormat="false" ht="15" hidden="false" customHeight="false" outlineLevel="0" collapsed="false">
      <c r="A13" s="4" t="s">
        <v>93</v>
      </c>
      <c r="B13" s="13" t="n">
        <f aca="false">IF(Inputs!$B$7=1,Configurations!$B$10*Inputs!$B$6,0)</f>
        <v>54</v>
      </c>
      <c r="C13" s="13" t="n">
        <f aca="false">IF(Inputs!$B$7=1,Configurations!$B$10*Inputs!$B$6,0)</f>
        <v>54</v>
      </c>
      <c r="D13" s="13" t="n">
        <f aca="false">IF(Inputs!$B$7=1,Configurations!$C$10*Inputs!$B$6,0)</f>
        <v>88.875</v>
      </c>
      <c r="E13" s="13" t="n">
        <f aca="false">IF(Inputs!$B$7=1,Configurations!$C$10*Inputs!$B$6,0)</f>
        <v>88.875</v>
      </c>
      <c r="F13" s="13" t="n">
        <f aca="false">IF(Inputs!$B$7=1,Configurations!$D$10*Inputs!$B$6,0)</f>
        <v>159.375</v>
      </c>
      <c r="G13" s="13" t="n">
        <f aca="false">IF(Inputs!$B$7=1,Configurations!$D$10*Inputs!$B$6,0)</f>
        <v>159.375</v>
      </c>
    </row>
    <row r="14" customFormat="false" ht="15" hidden="false" customHeight="false" outlineLevel="0" collapsed="false">
      <c r="A14" s="4" t="s">
        <v>94</v>
      </c>
      <c r="B14" s="14" t="n">
        <f aca="false">Inputs!$B$21+Inputs!$B$5+1</f>
        <v>7</v>
      </c>
      <c r="C14" s="14" t="n">
        <f aca="false">Inputs!$B$21+1</f>
        <v>3</v>
      </c>
      <c r="D14" s="14" t="n">
        <f aca="false">Inputs!$B$21+Inputs!$B$5+1</f>
        <v>7</v>
      </c>
      <c r="E14" s="14" t="n">
        <f aca="false">Inputs!$B$21+1</f>
        <v>3</v>
      </c>
      <c r="F14" s="14" t="n">
        <f aca="false">Inputs!$B$21+Inputs!$B$5+1</f>
        <v>7</v>
      </c>
      <c r="G14" s="14" t="n">
        <f aca="false">Inputs!$B$21+1</f>
        <v>3</v>
      </c>
    </row>
    <row r="15" customFormat="false" ht="15" hidden="false" customHeight="false" outlineLevel="0" collapsed="false">
      <c r="A15" s="4" t="s">
        <v>95</v>
      </c>
      <c r="B15" s="13" t="n">
        <f aca="false">IF(Inputs!$B$7=2,B5*Inputs!$B$9/1000000*(1-(1+Inputs!$B$17)^-10)/Inputs!$B$17/(1+Inputs!$B$17)^(B14-1),0)</f>
        <v>0</v>
      </c>
      <c r="C15" s="13" t="n">
        <f aca="false">IF(Inputs!$B$7=2,C5*Inputs!$B$9/1000000*(1-(1+Inputs!$B$17)^-10)/Inputs!$B$17/(1+Inputs!$B$17)^(C14-1),0)</f>
        <v>0</v>
      </c>
      <c r="D15" s="13" t="n">
        <f aca="false">IF(Inputs!$B$7=2,D5*Inputs!$B$9/1000000*(1-(1+Inputs!$B$17)^-10)/Inputs!$B$17/(1+Inputs!$B$17)^(D14-1),0)</f>
        <v>0</v>
      </c>
      <c r="E15" s="13" t="n">
        <f aca="false">IF(Inputs!$B$7=2,E5*Inputs!$B$9/1000000*(1-(1+Inputs!$B$17)^-10)/Inputs!$B$17/(1+Inputs!$B$17)^(E14-1),0)</f>
        <v>0</v>
      </c>
      <c r="F15" s="13" t="n">
        <f aca="false">IF(Inputs!$B$7=2,F5*Inputs!$B$9/1000000*(1-(1+Inputs!$B$17)^-10)/Inputs!$B$17/(1+Inputs!$B$17)^(F14-1),0)</f>
        <v>0</v>
      </c>
      <c r="G15" s="13" t="n">
        <f aca="false">IF(Inputs!$B$7=2,G5*Inputs!$B$9/1000000*(1-(1+Inputs!$B$17)^-10)/Inputs!$B$17/(1+Inputs!$B$17)^(G14-1),0)</f>
        <v>0</v>
      </c>
    </row>
    <row r="16" customFormat="false" ht="15" hidden="false" customHeight="false" outlineLevel="0" collapsed="false">
      <c r="A16" s="4" t="s">
        <v>96</v>
      </c>
      <c r="B16" s="13" t="n">
        <f aca="false">IF(Inputs!$B$7=1,Configurations!$B$10-0.5*B13,Configurations!$B$10)</f>
        <v>153</v>
      </c>
      <c r="C16" s="13" t="n">
        <f aca="false">IF(Inputs!$B$7=1,Configurations!$B$10-0.5*C13,Configurations!$B$10)</f>
        <v>153</v>
      </c>
      <c r="D16" s="13" t="n">
        <f aca="false">IF(Inputs!$B$7=1,Configurations!$C$10-0.5*D13,Configurations!$C$10)</f>
        <v>251.8125</v>
      </c>
      <c r="E16" s="13" t="n">
        <f aca="false">IF(Inputs!$B$7=1,Configurations!$C$10-0.5*E13,Configurations!$C$10)</f>
        <v>251.8125</v>
      </c>
      <c r="F16" s="13" t="n">
        <f aca="false">IF(Inputs!$B$7=1,Configurations!$D$10-0.5*F13,Configurations!$D$10)</f>
        <v>451.5625</v>
      </c>
      <c r="G16" s="13" t="n">
        <f aca="false">IF(Inputs!$B$7=1,Configurations!$D$10-0.5*G13,Configurations!$D$10)</f>
        <v>451.5625</v>
      </c>
    </row>
    <row r="17" customFormat="false" ht="15" hidden="false" customHeight="false" outlineLevel="0" collapsed="false">
      <c r="A17" s="4" t="s">
        <v>97</v>
      </c>
      <c r="B17" s="13" t="n">
        <f aca="true">SUMPRODUCT($B$25:$B$30,B16*Inputs!$B$15/(1+Inputs!$B$17)^ROW(INDIRECT("1:6")))</f>
        <v>37.9645049349221</v>
      </c>
      <c r="C17" s="13" t="n">
        <f aca="true">SUMPRODUCT($B$25:$B$30,C16*Inputs!$B$15/(1+Inputs!$B$17)^ROW(INDIRECT("1:6")))</f>
        <v>37.9645049349221</v>
      </c>
      <c r="D17" s="13" t="n">
        <f aca="true">SUMPRODUCT($B$25:$B$30,D16*Inputs!$B$15/(1+Inputs!$B$17)^ROW(INDIRECT("1:6")))</f>
        <v>62.4832477053927</v>
      </c>
      <c r="E17" s="13" t="n">
        <f aca="true">SUMPRODUCT($B$25:$B$30,E16*Inputs!$B$15/(1+Inputs!$B$17)^ROW(INDIRECT("1:6")))</f>
        <v>62.4832477053927</v>
      </c>
      <c r="F17" s="13" t="n">
        <f aca="true">SUMPRODUCT($B$25:$B$30,F16*Inputs!$B$15/(1+Inputs!$B$17)^ROW(INDIRECT("1:6")))</f>
        <v>112.048018037097</v>
      </c>
      <c r="G17" s="13" t="n">
        <f aca="true">SUMPRODUCT($B$25:$B$30,G16*Inputs!$B$15/(1+Inputs!$B$17)^ROW(INDIRECT("1:6")))</f>
        <v>112.048018037097</v>
      </c>
    </row>
    <row r="18" customFormat="false" ht="15" hidden="false" customHeight="false" outlineLevel="0" collapsed="false">
      <c r="A18" s="4" t="s">
        <v>98</v>
      </c>
      <c r="B18" s="13" t="n">
        <f aca="false">IF(Inputs!$B$6=0,0,Inputs!$B$16*(B13+B15+B17))</f>
        <v>73.5716039479377</v>
      </c>
      <c r="C18" s="13" t="n">
        <f aca="false">IF(Inputs!$B$6=0,0,Inputs!$B$16*(C13+C15+C17))</f>
        <v>73.5716039479377</v>
      </c>
      <c r="D18" s="13" t="n">
        <f aca="false">IF(Inputs!$B$6=0,0,Inputs!$B$16*(D13+D15+D17))</f>
        <v>121.086598164314</v>
      </c>
      <c r="E18" s="13" t="n">
        <f aca="false">IF(Inputs!$B$6=0,0,Inputs!$B$16*(E13+E15+E17))</f>
        <v>121.086598164314</v>
      </c>
      <c r="F18" s="13" t="n">
        <f aca="false">IF(Inputs!$B$6=0,0,Inputs!$B$16*(F13+F15+F17))</f>
        <v>217.138414429677</v>
      </c>
      <c r="G18" s="13" t="n">
        <f aca="false">IF(Inputs!$B$6=0,0,Inputs!$B$16*(G13+G15+G17))</f>
        <v>217.138414429677</v>
      </c>
    </row>
    <row r="19" customFormat="false" ht="15" hidden="false" customHeight="false" outlineLevel="0" collapsed="false">
      <c r="A19" s="4" t="s">
        <v>99</v>
      </c>
      <c r="B19" s="13" t="n">
        <f aca="false">B4-B11-B18</f>
        <v>15.1104651117936</v>
      </c>
      <c r="C19" s="13" t="n">
        <f aca="false">C4-C11-C18</f>
        <v>33.7495664923093</v>
      </c>
      <c r="D19" s="13" t="n">
        <f aca="false">D4-D11-D18</f>
        <v>23.5434018356858</v>
      </c>
      <c r="E19" s="13" t="n">
        <f aca="false">E4-E11-E18</f>
        <v>31.6434018356858</v>
      </c>
      <c r="F19" s="13" t="n">
        <f aca="false">F4-F11-F18</f>
        <v>38.5740855703227</v>
      </c>
      <c r="G19" s="13" t="n">
        <f aca="false">G4-G11-G18</f>
        <v>43.9740855703227</v>
      </c>
    </row>
    <row r="21" customFormat="false" ht="15" hidden="false" customHeight="false" outlineLevel="0" collapsed="false">
      <c r="A21" s="2" t="s">
        <v>100</v>
      </c>
    </row>
    <row r="22" customFormat="false" ht="15" hidden="false" customHeight="false" outlineLevel="0" collapsed="false">
      <c r="A22" s="2" t="s">
        <v>101</v>
      </c>
    </row>
    <row r="24" customFormat="false" ht="15" hidden="false" customHeight="false" outlineLevel="0" collapsed="false">
      <c r="A24" s="15" t="s">
        <v>102</v>
      </c>
    </row>
    <row r="25" customFormat="false" ht="15" hidden="false" customHeight="false" outlineLevel="0" collapsed="false">
      <c r="A25" s="4" t="s">
        <v>103</v>
      </c>
      <c r="B25" s="16" t="n">
        <v>0.2</v>
      </c>
    </row>
    <row r="26" customFormat="false" ht="15" hidden="false" customHeight="false" outlineLevel="0" collapsed="false">
      <c r="A26" s="4" t="s">
        <v>104</v>
      </c>
      <c r="B26" s="16" t="n">
        <v>0.32</v>
      </c>
    </row>
    <row r="27" customFormat="false" ht="15" hidden="false" customHeight="false" outlineLevel="0" collapsed="false">
      <c r="A27" s="4" t="s">
        <v>105</v>
      </c>
      <c r="B27" s="16" t="n">
        <v>0.192</v>
      </c>
    </row>
    <row r="28" customFormat="false" ht="15" hidden="false" customHeight="false" outlineLevel="0" collapsed="false">
      <c r="A28" s="4" t="s">
        <v>106</v>
      </c>
      <c r="B28" s="16" t="n">
        <v>0.1152</v>
      </c>
    </row>
    <row r="29" customFormat="false" ht="15" hidden="false" customHeight="false" outlineLevel="0" collapsed="false">
      <c r="A29" s="4" t="s">
        <v>107</v>
      </c>
      <c r="B29" s="16" t="n">
        <v>0.1152</v>
      </c>
    </row>
    <row r="30" customFormat="false" ht="15" hidden="false" customHeight="false" outlineLevel="0" collapsed="false">
      <c r="A30" s="4" t="s">
        <v>108</v>
      </c>
      <c r="B30" s="16" t="n">
        <v>0.0576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15" t="s">
        <v>110</v>
      </c>
      <c r="B2" s="17" t="n">
        <f aca="false">IRR(K5:K37)</f>
        <v>0.0407137053560902</v>
      </c>
      <c r="C2" s="15" t="s">
        <v>111</v>
      </c>
      <c r="D2" s="18" t="n">
        <f aca="false">IRR(M5:M37)</f>
        <v>0.00912386656501047</v>
      </c>
      <c r="E2" s="15" t="s">
        <v>112</v>
      </c>
      <c r="F2" s="19" t="n">
        <f aca="false">K5+NPV(Inputs!$B$24,K6:K37)</f>
        <v>-15.3965796237227</v>
      </c>
    </row>
    <row r="4" customFormat="false" ht="26.85" hidden="false" customHeight="false" outlineLevel="0" collapsed="false">
      <c r="A4" s="20" t="s">
        <v>113</v>
      </c>
      <c r="B4" s="20" t="s">
        <v>114</v>
      </c>
      <c r="C4" s="20" t="s">
        <v>115</v>
      </c>
      <c r="D4" s="20" t="s">
        <v>116</v>
      </c>
      <c r="E4" s="20" t="s">
        <v>117</v>
      </c>
      <c r="F4" s="20" t="s">
        <v>118</v>
      </c>
      <c r="G4" s="20" t="s">
        <v>119</v>
      </c>
      <c r="H4" s="20" t="s">
        <v>120</v>
      </c>
      <c r="I4" s="20" t="s">
        <v>121</v>
      </c>
      <c r="J4" s="20" t="s">
        <v>122</v>
      </c>
      <c r="K4" s="20" t="s">
        <v>123</v>
      </c>
      <c r="L4" s="20" t="s">
        <v>124</v>
      </c>
      <c r="M4" s="20" t="s">
        <v>125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IF(A5=0,"Equity",IF(A5&lt;=Inputs!$B$21,"Construction",IF(A5&lt;=Inputs!$B$21+Inputs!$B$5,"Queue wait",IF(A5&lt;=Inputs!$B$21+Configurations!$B$15,"Grid ops","—"))))</f>
        <v>Equity</v>
      </c>
      <c r="C5" s="4" t="str">
        <f aca="false">IF(A5&lt;=Inputs!$B$21,"",A5-Inputs!$B$21-1)</f>
        <v/>
      </c>
      <c r="D5" s="14" t="n">
        <f aca="false">IF(OR(A5&lt;=Inputs!$B$21,A5&gt;Inputs!$B$21+Configurations!$B$15),0,Configurations!$B$4*Configurations!$B$5*8760*(1-Configurations!$B$6)^C5*Configurations!$B$7*(1-Configurations!$B$8))</f>
        <v>0</v>
      </c>
      <c r="E5" s="13" t="n">
        <f aca="false">IF(OR(A5&lt;=Inputs!$B$21,A5&gt;Inputs!$B$21+Configurations!$B$15),0,IF(A5&lt;=Inputs!$B$21+Inputs!$B$5,0,D5*Inputs!$B$18/1000000))</f>
        <v>0</v>
      </c>
      <c r="F5" s="13" t="n">
        <f aca="false">IF(OR(A5&lt;=Inputs!$B$21,A5&gt;Inputs!$B$21+Configurations!$B$15),0,IF(A5&lt;=Inputs!$B$21+Inputs!$B$5,Configurations!$B$13,Configurations!$B$12+Configurations!$B$13+Inputs!$B$20*E5))</f>
        <v>0</v>
      </c>
      <c r="G5" s="13" t="n">
        <f aca="false">E5-F5</f>
        <v>0</v>
      </c>
      <c r="H5" s="21" t="n">
        <f aca="false">IF(AND(A5&gt;Inputs!$B$21,A5&lt;=Inputs!$B$21+Inputs!$B$12),Capitalization!B$12,0)</f>
        <v>0</v>
      </c>
      <c r="I5" s="13" t="n">
        <f aca="false">G5-H5</f>
        <v>0</v>
      </c>
      <c r="J5" s="22" t="str">
        <f aca="false">IF(A5&lt;=Inputs!$B$21,"",IF(AND(A5&lt;=Inputs!$B$22,Capitalization!B$18&gt;0),Inputs!$B$25,Inputs!$B$26))</f>
        <v/>
      </c>
      <c r="K5" s="13" t="n">
        <f aca="false">IF(A5=0,-Capitalization!B$19,IF(A5&lt;=Inputs!$B$21,0,I5*J5-IF(AND(A5=Inputs!$B$22,Capitalization!B$18&gt;0),Inputs!$B$23,0)))</f>
        <v>-15.1104651117936</v>
      </c>
      <c r="L5" s="23" t="str">
        <f aca="false">IF(H5&gt;0,G5/H5,"")</f>
        <v/>
      </c>
      <c r="M5" s="13" t="n">
        <f aca="false">IF(A5=0,-Capitalization!B$4,IF(A5&lt;=Inputs!$B$21,0,G5))</f>
        <v>-197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IF(A6=0,"Equity",IF(A6&lt;=Inputs!$B$21,"Construction",IF(A6&lt;=Inputs!$B$21+Inputs!$B$5,"Queue wait",IF(A6&lt;=Inputs!$B$21+Configurations!$B$15,"Grid ops","—"))))</f>
        <v>Construction</v>
      </c>
      <c r="C6" s="4" t="str">
        <f aca="false">IF(A6&lt;=Inputs!$B$21,"",A6-Inputs!$B$21-1)</f>
        <v/>
      </c>
      <c r="D6" s="14" t="n">
        <f aca="false">IF(OR(A6&lt;=Inputs!$B$21,A6&gt;Inputs!$B$21+Configurations!$B$15),0,Configurations!$B$4*Configurations!$B$5*8760*(1-Configurations!$B$6)^C6*Configurations!$B$7*(1-Configurations!$B$8))</f>
        <v>0</v>
      </c>
      <c r="E6" s="13" t="n">
        <f aca="false">IF(OR(A6&lt;=Inputs!$B$21,A6&gt;Inputs!$B$21+Configurations!$B$15),0,IF(A6&lt;=Inputs!$B$21+Inputs!$B$5,0,D6*Inputs!$B$18/1000000))</f>
        <v>0</v>
      </c>
      <c r="F6" s="13" t="n">
        <f aca="false">IF(OR(A6&lt;=Inputs!$B$21,A6&gt;Inputs!$B$21+Configurations!$B$15),0,IF(A6&lt;=Inputs!$B$21+Inputs!$B$5,Configurations!$B$13,Configurations!$B$12+Configurations!$B$13+Inputs!$B$20*E6))</f>
        <v>0</v>
      </c>
      <c r="G6" s="13" t="n">
        <f aca="false">E6-F6</f>
        <v>0</v>
      </c>
      <c r="H6" s="21" t="n">
        <f aca="false">IF(AND(A6&gt;Inputs!$B$21,A6&lt;=Inputs!$B$21+Inputs!$B$12),Capitalization!B$12,0)</f>
        <v>0</v>
      </c>
      <c r="I6" s="13" t="n">
        <f aca="false">G6-H6</f>
        <v>0</v>
      </c>
      <c r="J6" s="22" t="str">
        <f aca="false">IF(A6&lt;=Inputs!$B$21,"",IF(AND(A6&lt;=Inputs!$B$22,Capitalization!B$18&gt;0),Inputs!$B$25,Inputs!$B$26))</f>
        <v/>
      </c>
      <c r="K6" s="13" t="n">
        <f aca="false">IF(A6=0,-Capitalization!B$19,IF(A6&lt;=Inputs!$B$21,0,I6*J6-IF(AND(A6=Inputs!$B$22,Capitalization!B$18&gt;0),Inputs!$B$23,0)))</f>
        <v>0</v>
      </c>
      <c r="L6" s="23" t="str">
        <f aca="false">IF(H6&gt;0,G6/H6,"")</f>
        <v/>
      </c>
      <c r="M6" s="13" t="n">
        <f aca="false">IF(A6=0,-Capitalization!B$4,IF(A6&lt;=Inputs!$B$21,0,G6))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IF(A7=0,"Equity",IF(A7&lt;=Inputs!$B$21,"Construction",IF(A7&lt;=Inputs!$B$21+Inputs!$B$5,"Queue wait",IF(A7&lt;=Inputs!$B$21+Configurations!$B$15,"Grid ops","—"))))</f>
        <v>Construction</v>
      </c>
      <c r="C7" s="4" t="str">
        <f aca="false">IF(A7&lt;=Inputs!$B$21,"",A7-Inputs!$B$21-1)</f>
        <v/>
      </c>
      <c r="D7" s="14" t="n">
        <f aca="false">IF(OR(A7&lt;=Inputs!$B$21,A7&gt;Inputs!$B$21+Configurations!$B$15),0,Configurations!$B$4*Configurations!$B$5*8760*(1-Configurations!$B$6)^C7*Configurations!$B$7*(1-Configurations!$B$8))</f>
        <v>0</v>
      </c>
      <c r="E7" s="13" t="n">
        <f aca="false">IF(OR(A7&lt;=Inputs!$B$21,A7&gt;Inputs!$B$21+Configurations!$B$15),0,IF(A7&lt;=Inputs!$B$21+Inputs!$B$5,0,D7*Inputs!$B$18/1000000))</f>
        <v>0</v>
      </c>
      <c r="F7" s="13" t="n">
        <f aca="false">IF(OR(A7&lt;=Inputs!$B$21,A7&gt;Inputs!$B$21+Configurations!$B$15),0,IF(A7&lt;=Inputs!$B$21+Inputs!$B$5,Configurations!$B$13,Configurations!$B$12+Configurations!$B$13+Inputs!$B$20*E7))</f>
        <v>0</v>
      </c>
      <c r="G7" s="13" t="n">
        <f aca="false">E7-F7</f>
        <v>0</v>
      </c>
      <c r="H7" s="21" t="n">
        <f aca="false">IF(AND(A7&gt;Inputs!$B$21,A7&lt;=Inputs!$B$21+Inputs!$B$12),Capitalization!B$12,0)</f>
        <v>0</v>
      </c>
      <c r="I7" s="13" t="n">
        <f aca="false">G7-H7</f>
        <v>0</v>
      </c>
      <c r="J7" s="22" t="str">
        <f aca="false">IF(A7&lt;=Inputs!$B$21,"",IF(AND(A7&lt;=Inputs!$B$22,Capitalization!B$18&gt;0),Inputs!$B$25,Inputs!$B$26))</f>
        <v/>
      </c>
      <c r="K7" s="13" t="n">
        <f aca="false">IF(A7=0,-Capitalization!B$19,IF(A7&lt;=Inputs!$B$21,0,I7*J7-IF(AND(A7=Inputs!$B$22,Capitalization!B$18&gt;0),Inputs!$B$23,0)))</f>
        <v>0</v>
      </c>
      <c r="L7" s="23" t="str">
        <f aca="false">IF(H7&gt;0,G7/H7,"")</f>
        <v/>
      </c>
      <c r="M7" s="13" t="n">
        <f aca="false">IF(A7=0,-Capitalization!B$4,IF(A7&lt;=Inputs!$B$21,0,G7))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IF(A8=0,"Equity",IF(A8&lt;=Inputs!$B$21,"Construction",IF(A8&lt;=Inputs!$B$21+Inputs!$B$5,"Queue wait",IF(A8&lt;=Inputs!$B$21+Configurations!$B$15,"Grid ops","—"))))</f>
        <v>Queue wait</v>
      </c>
      <c r="C8" s="4" t="n">
        <f aca="false">IF(A8&lt;=Inputs!$B$21,"",A8-Inputs!$B$21-1)</f>
        <v>0</v>
      </c>
      <c r="D8" s="14" t="n">
        <f aca="false">IF(OR(A8&lt;=Inputs!$B$21,A8&gt;Inputs!$B$21+Configurations!$B$15),0,Configurations!$B$4*Configurations!$B$5*8760*(1-Configurations!$B$6)^C8*Configurations!$B$7*(1-Configurations!$B$8))</f>
        <v>230179.95</v>
      </c>
      <c r="E8" s="13" t="n">
        <f aca="false">IF(OR(A8&lt;=Inputs!$B$21,A8&gt;Inputs!$B$21+Configurations!$B$15),0,IF(A8&lt;=Inputs!$B$21+Inputs!$B$5,0,D8*Inputs!$B$18/1000000))</f>
        <v>0</v>
      </c>
      <c r="F8" s="13" t="n">
        <f aca="false">IF(OR(A8&lt;=Inputs!$B$21,A8&gt;Inputs!$B$21+Configurations!$B$15),0,IF(A8&lt;=Inputs!$B$21+Inputs!$B$5,Configurations!$B$13,Configurations!$B$12+Configurations!$B$13+Inputs!$B$20*E8))</f>
        <v>1.088</v>
      </c>
      <c r="G8" s="13" t="n">
        <f aca="false">E8-F8</f>
        <v>-1.088</v>
      </c>
      <c r="H8" s="21" t="n">
        <f aca="false">IF(AND(A8&gt;Inputs!$B$21,A8&lt;=Inputs!$B$21+Inputs!$B$12),Capitalization!B$12,0)</f>
        <v>9.06397189185185</v>
      </c>
      <c r="I8" s="13" t="n">
        <f aca="false">G8-H8</f>
        <v>-10.1519718918519</v>
      </c>
      <c r="J8" s="22" t="n">
        <f aca="false">IF(A8&lt;=Inputs!$B$21,"",IF(AND(A8&lt;=Inputs!$B$22,Capitalization!B$18&gt;0),Inputs!$B$25,Inputs!$B$26))</f>
        <v>0.7</v>
      </c>
      <c r="K8" s="13" t="n">
        <f aca="false">IF(A8=0,-Capitalization!B$19,IF(A8&lt;=Inputs!$B$21,0,I8*J8-IF(AND(A8=Inputs!$B$22,Capitalization!B$18&gt;0),Inputs!$B$23,0)))</f>
        <v>-7.1063803242963</v>
      </c>
      <c r="L8" s="23" t="n">
        <f aca="false">IF(H8&gt;0,G8/H8,"")</f>
        <v>-0.120035676741018</v>
      </c>
      <c r="M8" s="13" t="n">
        <f aca="false">IF(A8=0,-Capitalization!B$4,IF(A8&lt;=Inputs!$B$21,0,G8))</f>
        <v>-1.088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IF(A9=0,"Equity",IF(A9&lt;=Inputs!$B$21,"Construction",IF(A9&lt;=Inputs!$B$21+Inputs!$B$5,"Queue wait",IF(A9&lt;=Inputs!$B$21+Configurations!$B$15,"Grid ops","—"))))</f>
        <v>Queue wait</v>
      </c>
      <c r="C9" s="4" t="n">
        <f aca="false">IF(A9&lt;=Inputs!$B$21,"",A9-Inputs!$B$21-1)</f>
        <v>1</v>
      </c>
      <c r="D9" s="14" t="n">
        <f aca="false">IF(OR(A9&lt;=Inputs!$B$21,A9&gt;Inputs!$B$21+Configurations!$B$15),0,Configurations!$B$4*Configurations!$B$5*8760*(1-Configurations!$B$6)^C9*Configurations!$B$7*(1-Configurations!$B$8))</f>
        <v>229029.05025</v>
      </c>
      <c r="E9" s="13" t="n">
        <f aca="false">IF(OR(A9&lt;=Inputs!$B$21,A9&gt;Inputs!$B$21+Configurations!$B$15),0,IF(A9&lt;=Inputs!$B$21+Inputs!$B$5,0,D9*Inputs!$B$18/1000000))</f>
        <v>0</v>
      </c>
      <c r="F9" s="13" t="n">
        <f aca="false">IF(OR(A9&lt;=Inputs!$B$21,A9&gt;Inputs!$B$21+Configurations!$B$15),0,IF(A9&lt;=Inputs!$B$21+Inputs!$B$5,Configurations!$B$13,Configurations!$B$12+Configurations!$B$13+Inputs!$B$20*E9))</f>
        <v>1.088</v>
      </c>
      <c r="G9" s="13" t="n">
        <f aca="false">E9-F9</f>
        <v>-1.088</v>
      </c>
      <c r="H9" s="21" t="n">
        <f aca="false">IF(AND(A9&gt;Inputs!$B$21,A9&lt;=Inputs!$B$21+Inputs!$B$12),Capitalization!B$12,0)</f>
        <v>9.06397189185185</v>
      </c>
      <c r="I9" s="13" t="n">
        <f aca="false">G9-H9</f>
        <v>-10.1519718918519</v>
      </c>
      <c r="J9" s="22" t="n">
        <f aca="false">IF(A9&lt;=Inputs!$B$21,"",IF(AND(A9&lt;=Inputs!$B$22,Capitalization!B$18&gt;0),Inputs!$B$25,Inputs!$B$26))</f>
        <v>0.7</v>
      </c>
      <c r="K9" s="13" t="n">
        <f aca="false">IF(A9=0,-Capitalization!B$19,IF(A9&lt;=Inputs!$B$21,0,I9*J9-IF(AND(A9=Inputs!$B$22,Capitalization!B$18&gt;0),Inputs!$B$23,0)))</f>
        <v>-7.1063803242963</v>
      </c>
      <c r="L9" s="23" t="n">
        <f aca="false">IF(H9&gt;0,G9/H9,"")</f>
        <v>-0.120035676741018</v>
      </c>
      <c r="M9" s="13" t="n">
        <f aca="false">IF(A9=0,-Capitalization!B$4,IF(A9&lt;=Inputs!$B$21,0,G9))</f>
        <v>-1.088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IF(A10=0,"Equity",IF(A10&lt;=Inputs!$B$21,"Construction",IF(A10&lt;=Inputs!$B$21+Inputs!$B$5,"Queue wait",IF(A10&lt;=Inputs!$B$21+Configurations!$B$15,"Grid ops","—"))))</f>
        <v>Queue wait</v>
      </c>
      <c r="C10" s="4" t="n">
        <f aca="false">IF(A10&lt;=Inputs!$B$21,"",A10-Inputs!$B$21-1)</f>
        <v>2</v>
      </c>
      <c r="D10" s="14" t="n">
        <f aca="false">IF(OR(A10&lt;=Inputs!$B$21,A10&gt;Inputs!$B$21+Configurations!$B$15),0,Configurations!$B$4*Configurations!$B$5*8760*(1-Configurations!$B$6)^C10*Configurations!$B$7*(1-Configurations!$B$8))</f>
        <v>227883.90499875</v>
      </c>
      <c r="E10" s="13" t="n">
        <f aca="false">IF(OR(A10&lt;=Inputs!$B$21,A10&gt;Inputs!$B$21+Configurations!$B$15),0,IF(A10&lt;=Inputs!$B$21+Inputs!$B$5,0,D10*Inputs!$B$18/1000000))</f>
        <v>0</v>
      </c>
      <c r="F10" s="13" t="n">
        <f aca="false">IF(OR(A10&lt;=Inputs!$B$21,A10&gt;Inputs!$B$21+Configurations!$B$15),0,IF(A10&lt;=Inputs!$B$21+Inputs!$B$5,Configurations!$B$13,Configurations!$B$12+Configurations!$B$13+Inputs!$B$20*E10))</f>
        <v>1.088</v>
      </c>
      <c r="G10" s="13" t="n">
        <f aca="false">E10-F10</f>
        <v>-1.088</v>
      </c>
      <c r="H10" s="21" t="n">
        <f aca="false">IF(AND(A10&gt;Inputs!$B$21,A10&lt;=Inputs!$B$21+Inputs!$B$12),Capitalization!B$12,0)</f>
        <v>9.06397189185185</v>
      </c>
      <c r="I10" s="13" t="n">
        <f aca="false">G10-H10</f>
        <v>-10.1519718918519</v>
      </c>
      <c r="J10" s="22" t="n">
        <f aca="false">IF(A10&lt;=Inputs!$B$21,"",IF(AND(A10&lt;=Inputs!$B$22,Capitalization!B$18&gt;0),Inputs!$B$25,Inputs!$B$26))</f>
        <v>0.7</v>
      </c>
      <c r="K10" s="13" t="n">
        <f aca="false">IF(A10=0,-Capitalization!B$19,IF(A10&lt;=Inputs!$B$21,0,I10*J10-IF(AND(A10=Inputs!$B$22,Capitalization!B$18&gt;0),Inputs!$B$23,0)))</f>
        <v>-7.1063803242963</v>
      </c>
      <c r="L10" s="23" t="n">
        <f aca="false">IF(H10&gt;0,G10/H10,"")</f>
        <v>-0.120035676741018</v>
      </c>
      <c r="M10" s="13" t="n">
        <f aca="false">IF(A10=0,-Capitalization!B$4,IF(A10&lt;=Inputs!$B$21,0,G10))</f>
        <v>-1.088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IF(A11=0,"Equity",IF(A11&lt;=Inputs!$B$21,"Construction",IF(A11&lt;=Inputs!$B$21+Inputs!$B$5,"Queue wait",IF(A11&lt;=Inputs!$B$21+Configurations!$B$15,"Grid ops","—"))))</f>
        <v>Queue wait</v>
      </c>
      <c r="C11" s="4" t="n">
        <f aca="false">IF(A11&lt;=Inputs!$B$21,"",A11-Inputs!$B$21-1)</f>
        <v>3</v>
      </c>
      <c r="D11" s="14" t="n">
        <f aca="false">IF(OR(A11&lt;=Inputs!$B$21,A11&gt;Inputs!$B$21+Configurations!$B$15),0,Configurations!$B$4*Configurations!$B$5*8760*(1-Configurations!$B$6)^C11*Configurations!$B$7*(1-Configurations!$B$8))</f>
        <v>226744.485473756</v>
      </c>
      <c r="E11" s="13" t="n">
        <f aca="false">IF(OR(A11&lt;=Inputs!$B$21,A11&gt;Inputs!$B$21+Configurations!$B$15),0,IF(A11&lt;=Inputs!$B$21+Inputs!$B$5,0,D11*Inputs!$B$18/1000000))</f>
        <v>0</v>
      </c>
      <c r="F11" s="13" t="n">
        <f aca="false">IF(OR(A11&lt;=Inputs!$B$21,A11&gt;Inputs!$B$21+Configurations!$B$15),0,IF(A11&lt;=Inputs!$B$21+Inputs!$B$5,Configurations!$B$13,Configurations!$B$12+Configurations!$B$13+Inputs!$B$20*E11))</f>
        <v>1.088</v>
      </c>
      <c r="G11" s="13" t="n">
        <f aca="false">E11-F11</f>
        <v>-1.088</v>
      </c>
      <c r="H11" s="21" t="n">
        <f aca="false">IF(AND(A11&gt;Inputs!$B$21,A11&lt;=Inputs!$B$21+Inputs!$B$12),Capitalization!B$12,0)</f>
        <v>9.06397189185185</v>
      </c>
      <c r="I11" s="13" t="n">
        <f aca="false">G11-H11</f>
        <v>-10.1519718918519</v>
      </c>
      <c r="J11" s="22" t="n">
        <f aca="false">IF(A11&lt;=Inputs!$B$21,"",IF(AND(A11&lt;=Inputs!$B$22,Capitalization!B$18&gt;0),Inputs!$B$25,Inputs!$B$26))</f>
        <v>0.7</v>
      </c>
      <c r="K11" s="13" t="n">
        <f aca="false">IF(A11=0,-Capitalization!B$19,IF(A11&lt;=Inputs!$B$21,0,I11*J11-IF(AND(A11=Inputs!$B$22,Capitalization!B$18&gt;0),Inputs!$B$23,0)))</f>
        <v>-8.1063803242963</v>
      </c>
      <c r="L11" s="23" t="n">
        <f aca="false">IF(H11&gt;0,G11/H11,"")</f>
        <v>-0.120035676741018</v>
      </c>
      <c r="M11" s="13" t="n">
        <f aca="false">IF(A11=0,-Capitalization!B$4,IF(A11&lt;=Inputs!$B$21,0,G11))</f>
        <v>-1.088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IF(A12=0,"Equity",IF(A12&lt;=Inputs!$B$21,"Construction",IF(A12&lt;=Inputs!$B$21+Inputs!$B$5,"Queue wait",IF(A12&lt;=Inputs!$B$21+Configurations!$B$15,"Grid ops","—"))))</f>
        <v>Grid ops</v>
      </c>
      <c r="C12" s="4" t="n">
        <f aca="false">IF(A12&lt;=Inputs!$B$21,"",A12-Inputs!$B$21-1)</f>
        <v>4</v>
      </c>
      <c r="D12" s="14" t="n">
        <f aca="false">IF(OR(A12&lt;=Inputs!$B$21,A12&gt;Inputs!$B$21+Configurations!$B$15),0,Configurations!$B$4*Configurations!$B$5*8760*(1-Configurations!$B$6)^C12*Configurations!$B$7*(1-Configurations!$B$8))</f>
        <v>225610.763046388</v>
      </c>
      <c r="E12" s="13" t="n">
        <f aca="false">IF(OR(A12&lt;=Inputs!$B$21,A12&gt;Inputs!$B$21+Configurations!$B$15),0,IF(A12&lt;=Inputs!$B$21+Inputs!$B$5,0,D12*Inputs!$B$18/1000000))</f>
        <v>16.2439749393399</v>
      </c>
      <c r="F12" s="13" t="n">
        <f aca="false">IF(OR(A12&lt;=Inputs!$B$21,A12&gt;Inputs!$B$21+Configurations!$B$15),0,IF(A12&lt;=Inputs!$B$21+Inputs!$B$5,Configurations!$B$13,Configurations!$B$12+Configurations!$B$13+Inputs!$B$20*E12))</f>
        <v>4.3316596240901</v>
      </c>
      <c r="G12" s="13" t="n">
        <f aca="false">E12-F12</f>
        <v>11.9123153152498</v>
      </c>
      <c r="H12" s="21" t="n">
        <f aca="false">IF(AND(A12&gt;Inputs!$B$21,A12&lt;=Inputs!$B$21+Inputs!$B$12),Capitalization!B$12,0)</f>
        <v>9.06397189185185</v>
      </c>
      <c r="I12" s="13" t="n">
        <f aca="false">G12-H12</f>
        <v>2.84834342339795</v>
      </c>
      <c r="J12" s="22" t="n">
        <f aca="false">IF(A12&lt;=Inputs!$B$21,"",IF(AND(A12&lt;=Inputs!$B$22,Capitalization!B$18&gt;0),Inputs!$B$25,Inputs!$B$26))</f>
        <v>0.975</v>
      </c>
      <c r="K12" s="13" t="n">
        <f aca="false">IF(A12=0,-Capitalization!B$19,IF(A12&lt;=Inputs!$B$21,0,I12*J12-IF(AND(A12=Inputs!$B$22,Capitalization!B$18&gt;0),Inputs!$B$23,0)))</f>
        <v>2.777134837813</v>
      </c>
      <c r="L12" s="23" t="n">
        <f aca="false">IF(H12&gt;0,G12/H12,"")</f>
        <v>1.31424892501691</v>
      </c>
      <c r="M12" s="13" t="n">
        <f aca="false">IF(A12=0,-Capitalization!B$4,IF(A12&lt;=Inputs!$B$21,0,G12))</f>
        <v>11.9123153152498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IF(A13=0,"Equity",IF(A13&lt;=Inputs!$B$21,"Construction",IF(A13&lt;=Inputs!$B$21+Inputs!$B$5,"Queue wait",IF(A13&lt;=Inputs!$B$21+Configurations!$B$15,"Grid ops","—"))))</f>
        <v>Grid ops</v>
      </c>
      <c r="C13" s="4" t="n">
        <f aca="false">IF(A13&lt;=Inputs!$B$21,"",A13-Inputs!$B$21-1)</f>
        <v>5</v>
      </c>
      <c r="D13" s="14" t="n">
        <f aca="false">IF(OR(A13&lt;=Inputs!$B$21,A13&gt;Inputs!$B$21+Configurations!$B$15),0,Configurations!$B$4*Configurations!$B$5*8760*(1-Configurations!$B$6)^C13*Configurations!$B$7*(1-Configurations!$B$8))</f>
        <v>224482.709231156</v>
      </c>
      <c r="E13" s="13" t="n">
        <f aca="false">IF(OR(A13&lt;=Inputs!$B$21,A13&gt;Inputs!$B$21+Configurations!$B$15),0,IF(A13&lt;=Inputs!$B$21+Inputs!$B$5,0,D13*Inputs!$B$18/1000000))</f>
        <v>16.1627550646432</v>
      </c>
      <c r="F13" s="13" t="n">
        <f aca="false">IF(OR(A13&lt;=Inputs!$B$21,A13&gt;Inputs!$B$21+Configurations!$B$15),0,IF(A13&lt;=Inputs!$B$21+Inputs!$B$5,Configurations!$B$13,Configurations!$B$12+Configurations!$B$13+Inputs!$B$20*E13))</f>
        <v>4.33044132596965</v>
      </c>
      <c r="G13" s="13" t="n">
        <f aca="false">E13-F13</f>
        <v>11.8323137386736</v>
      </c>
      <c r="H13" s="21" t="n">
        <f aca="false">IF(AND(A13&gt;Inputs!$B$21,A13&lt;=Inputs!$B$21+Inputs!$B$12),Capitalization!B$12,0)</f>
        <v>9.06397189185185</v>
      </c>
      <c r="I13" s="13" t="n">
        <f aca="false">G13-H13</f>
        <v>2.7683418468217</v>
      </c>
      <c r="J13" s="22" t="n">
        <f aca="false">IF(A13&lt;=Inputs!$B$21,"",IF(AND(A13&lt;=Inputs!$B$22,Capitalization!B$18&gt;0),Inputs!$B$25,Inputs!$B$26))</f>
        <v>0.975</v>
      </c>
      <c r="K13" s="13" t="n">
        <f aca="false">IF(A13=0,-Capitalization!B$19,IF(A13&lt;=Inputs!$B$21,0,I13*J13-IF(AND(A13=Inputs!$B$22,Capitalization!B$18&gt;0),Inputs!$B$23,0)))</f>
        <v>2.69913330065116</v>
      </c>
      <c r="L13" s="23" t="n">
        <f aca="false">IF(H13&gt;0,G13/H13,"")</f>
        <v>1.30542259837658</v>
      </c>
      <c r="M13" s="13" t="n">
        <f aca="false">IF(A13=0,-Capitalization!B$4,IF(A13&lt;=Inputs!$B$21,0,G13))</f>
        <v>11.8323137386736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IF(A14=0,"Equity",IF(A14&lt;=Inputs!$B$21,"Construction",IF(A14&lt;=Inputs!$B$21+Inputs!$B$5,"Queue wait",IF(A14&lt;=Inputs!$B$21+Configurations!$B$15,"Grid ops","—"))))</f>
        <v>Grid ops</v>
      </c>
      <c r="C14" s="4" t="n">
        <f aca="false">IF(A14&lt;=Inputs!$B$21,"",A14-Inputs!$B$21-1)</f>
        <v>6</v>
      </c>
      <c r="D14" s="14" t="n">
        <f aca="false">IF(OR(A14&lt;=Inputs!$B$21,A14&gt;Inputs!$B$21+Configurations!$B$15),0,Configurations!$B$4*Configurations!$B$5*8760*(1-Configurations!$B$6)^C14*Configurations!$B$7*(1-Configurations!$B$8))</f>
        <v>223360.295685</v>
      </c>
      <c r="E14" s="13" t="n">
        <f aca="false">IF(OR(A14&lt;=Inputs!$B$21,A14&gt;Inputs!$B$21+Configurations!$B$15),0,IF(A14&lt;=Inputs!$B$21+Inputs!$B$5,0,D14*Inputs!$B$18/1000000))</f>
        <v>16.08194128932</v>
      </c>
      <c r="F14" s="13" t="n">
        <f aca="false">IF(OR(A14&lt;=Inputs!$B$21,A14&gt;Inputs!$B$21+Configurations!$B$15),0,IF(A14&lt;=Inputs!$B$21+Inputs!$B$5,Configurations!$B$13,Configurations!$B$12+Configurations!$B$13+Inputs!$B$20*E14))</f>
        <v>4.3292291193398</v>
      </c>
      <c r="G14" s="13" t="n">
        <f aca="false">E14-F14</f>
        <v>11.7527121699802</v>
      </c>
      <c r="H14" s="21" t="n">
        <f aca="false">IF(AND(A14&gt;Inputs!$B$21,A14&lt;=Inputs!$B$21+Inputs!$B$12),Capitalization!B$12,0)</f>
        <v>9.06397189185185</v>
      </c>
      <c r="I14" s="13" t="n">
        <f aca="false">G14-H14</f>
        <v>2.68874027812833</v>
      </c>
      <c r="J14" s="22" t="n">
        <f aca="false">IF(A14&lt;=Inputs!$B$21,"",IF(AND(A14&lt;=Inputs!$B$22,Capitalization!B$18&gt;0),Inputs!$B$25,Inputs!$B$26))</f>
        <v>0.975</v>
      </c>
      <c r="K14" s="13" t="n">
        <f aca="false">IF(A14=0,-Capitalization!B$19,IF(A14&lt;=Inputs!$B$21,0,I14*J14-IF(AND(A14=Inputs!$B$22,Capitalization!B$18&gt;0),Inputs!$B$23,0)))</f>
        <v>2.62152177117512</v>
      </c>
      <c r="L14" s="23" t="n">
        <f aca="false">IF(H14&gt;0,G14/H14,"")</f>
        <v>1.29664040336945</v>
      </c>
      <c r="M14" s="13" t="n">
        <f aca="false">IF(A14=0,-Capitalization!B$4,IF(A14&lt;=Inputs!$B$21,0,G14))</f>
        <v>11.7527121699802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IF(A15=0,"Equity",IF(A15&lt;=Inputs!$B$21,"Construction",IF(A15&lt;=Inputs!$B$21+Inputs!$B$5,"Queue wait",IF(A15&lt;=Inputs!$B$21+Configurations!$B$15,"Grid ops","—"))))</f>
        <v>Grid ops</v>
      </c>
      <c r="C15" s="4" t="n">
        <f aca="false">IF(A15&lt;=Inputs!$B$21,"",A15-Inputs!$B$21-1)</f>
        <v>7</v>
      </c>
      <c r="D15" s="14" t="n">
        <f aca="false">IF(OR(A15&lt;=Inputs!$B$21,A15&gt;Inputs!$B$21+Configurations!$B$15),0,Configurations!$B$4*Configurations!$B$5*8760*(1-Configurations!$B$6)^C15*Configurations!$B$7*(1-Configurations!$B$8))</f>
        <v>222243.494206575</v>
      </c>
      <c r="E15" s="13" t="n">
        <f aca="false">IF(OR(A15&lt;=Inputs!$B$21,A15&gt;Inputs!$B$21+Configurations!$B$15),0,IF(A15&lt;=Inputs!$B$21+Inputs!$B$5,0,D15*Inputs!$B$18/1000000))</f>
        <v>16.0015315828734</v>
      </c>
      <c r="F15" s="13" t="n">
        <f aca="false">IF(OR(A15&lt;=Inputs!$B$21,A15&gt;Inputs!$B$21+Configurations!$B$15),0,IF(A15&lt;=Inputs!$B$21+Inputs!$B$5,Configurations!$B$13,Configurations!$B$12+Configurations!$B$13+Inputs!$B$20*E15))</f>
        <v>4.3280229737431</v>
      </c>
      <c r="G15" s="13" t="n">
        <f aca="false">E15-F15</f>
        <v>11.6735086091303</v>
      </c>
      <c r="H15" s="21" t="n">
        <f aca="false">IF(AND(A15&gt;Inputs!$B$21,A15&lt;=Inputs!$B$21+Inputs!$B$12),Capitalization!B$12,0)</f>
        <v>9.06397189185185</v>
      </c>
      <c r="I15" s="13" t="n">
        <f aca="false">G15-H15</f>
        <v>2.60953671727843</v>
      </c>
      <c r="J15" s="22" t="n">
        <f aca="false">IF(A15&lt;=Inputs!$B$21,"",IF(AND(A15&lt;=Inputs!$B$22,Capitalization!B$18&gt;0),Inputs!$B$25,Inputs!$B$26))</f>
        <v>0.975</v>
      </c>
      <c r="K15" s="13" t="n">
        <f aca="false">IF(A15=0,-Capitalization!B$19,IF(A15&lt;=Inputs!$B$21,0,I15*J15-IF(AND(A15=Inputs!$B$22,Capitalization!B$18&gt;0),Inputs!$B$23,0)))</f>
        <v>2.54429829934647</v>
      </c>
      <c r="L15" s="23" t="n">
        <f aca="false">IF(H15&gt;0,G15/H15,"")</f>
        <v>1.28790211933736</v>
      </c>
      <c r="M15" s="13" t="n">
        <f aca="false">IF(A15=0,-Capitalization!B$4,IF(A15&lt;=Inputs!$B$21,0,G15))</f>
        <v>11.6735086091303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IF(A16=0,"Equity",IF(A16&lt;=Inputs!$B$21,"Construction",IF(A16&lt;=Inputs!$B$21+Inputs!$B$5,"Queue wait",IF(A16&lt;=Inputs!$B$21+Configurations!$B$15,"Grid ops","—"))))</f>
        <v>Grid ops</v>
      </c>
      <c r="C16" s="4" t="n">
        <f aca="false">IF(A16&lt;=Inputs!$B$21,"",A16-Inputs!$B$21-1)</f>
        <v>8</v>
      </c>
      <c r="D16" s="14" t="n">
        <f aca="false">IF(OR(A16&lt;=Inputs!$B$21,A16&gt;Inputs!$B$21+Configurations!$B$15),0,Configurations!$B$4*Configurations!$B$5*8760*(1-Configurations!$B$6)^C16*Configurations!$B$7*(1-Configurations!$B$8))</f>
        <v>221132.276735542</v>
      </c>
      <c r="E16" s="13" t="n">
        <f aca="false">IF(OR(A16&lt;=Inputs!$B$21,A16&gt;Inputs!$B$21+Configurations!$B$15),0,IF(A16&lt;=Inputs!$B$21+Inputs!$B$5,0,D16*Inputs!$B$18/1000000))</f>
        <v>15.921523924959</v>
      </c>
      <c r="F16" s="13" t="n">
        <f aca="false">IF(OR(A16&lt;=Inputs!$B$21,A16&gt;Inputs!$B$21+Configurations!$B$15),0,IF(A16&lt;=Inputs!$B$21+Inputs!$B$5,Configurations!$B$13,Configurations!$B$12+Configurations!$B$13+Inputs!$B$20*E16))</f>
        <v>4.32682285887439</v>
      </c>
      <c r="G16" s="13" t="n">
        <f aca="false">E16-F16</f>
        <v>11.5947010660846</v>
      </c>
      <c r="H16" s="21" t="n">
        <f aca="false">IF(AND(A16&gt;Inputs!$B$21,A16&lt;=Inputs!$B$21+Inputs!$B$12),Capitalization!B$12,0)</f>
        <v>9.06397189185185</v>
      </c>
      <c r="I16" s="13" t="n">
        <f aca="false">G16-H16</f>
        <v>2.53072917423278</v>
      </c>
      <c r="J16" s="22" t="n">
        <f aca="false">IF(A16&lt;=Inputs!$B$21,"",IF(AND(A16&lt;=Inputs!$B$22,Capitalization!B$18&gt;0),Inputs!$B$25,Inputs!$B$26))</f>
        <v>0.975</v>
      </c>
      <c r="K16" s="13" t="n">
        <f aca="false">IF(A16=0,-Capitalization!B$19,IF(A16&lt;=Inputs!$B$21,0,I16*J16-IF(AND(A16=Inputs!$B$22,Capitalization!B$18&gt;0),Inputs!$B$23,0)))</f>
        <v>2.46746094487696</v>
      </c>
      <c r="L16" s="23" t="n">
        <f aca="false">IF(H16&gt;0,G16/H16,"")</f>
        <v>1.27920752672543</v>
      </c>
      <c r="M16" s="13" t="n">
        <f aca="false">IF(A16=0,-Capitalization!B$4,IF(A16&lt;=Inputs!$B$21,0,G16))</f>
        <v>11.5947010660846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IF(A17=0,"Equity",IF(A17&lt;=Inputs!$B$21,"Construction",IF(A17&lt;=Inputs!$B$21+Inputs!$B$5,"Queue wait",IF(A17&lt;=Inputs!$B$21+Configurations!$B$15,"Grid ops","—"))))</f>
        <v>Grid ops</v>
      </c>
      <c r="C17" s="4" t="n">
        <f aca="false">IF(A17&lt;=Inputs!$B$21,"",A17-Inputs!$B$21-1)</f>
        <v>9</v>
      </c>
      <c r="D17" s="14" t="n">
        <f aca="false">IF(OR(A17&lt;=Inputs!$B$21,A17&gt;Inputs!$B$21+Configurations!$B$15),0,Configurations!$B$4*Configurations!$B$5*8760*(1-Configurations!$B$6)^C17*Configurations!$B$7*(1-Configurations!$B$8))</f>
        <v>220026.615351864</v>
      </c>
      <c r="E17" s="13" t="n">
        <f aca="false">IF(OR(A17&lt;=Inputs!$B$21,A17&gt;Inputs!$B$21+Configurations!$B$15),0,IF(A17&lt;=Inputs!$B$21+Inputs!$B$5,0,D17*Inputs!$B$18/1000000))</f>
        <v>15.8419163053342</v>
      </c>
      <c r="F17" s="13" t="n">
        <f aca="false">IF(OR(A17&lt;=Inputs!$B$21,A17&gt;Inputs!$B$21+Configurations!$B$15),0,IF(A17&lt;=Inputs!$B$21+Inputs!$B$5,Configurations!$B$13,Configurations!$B$12+Configurations!$B$13+Inputs!$B$20*E17))</f>
        <v>4.32562874458001</v>
      </c>
      <c r="G17" s="13" t="n">
        <f aca="false">E17-F17</f>
        <v>11.5162875607542</v>
      </c>
      <c r="H17" s="21" t="n">
        <f aca="false">IF(AND(A17&gt;Inputs!$B$21,A17&lt;=Inputs!$B$21+Inputs!$B$12),Capitalization!B$12,0)</f>
        <v>9.06397189185185</v>
      </c>
      <c r="I17" s="13" t="n">
        <f aca="false">G17-H17</f>
        <v>2.45231566890236</v>
      </c>
      <c r="J17" s="22" t="n">
        <f aca="false">IF(A17&lt;=Inputs!$B$21,"",IF(AND(A17&lt;=Inputs!$B$22,Capitalization!B$18&gt;0),Inputs!$B$25,Inputs!$B$26))</f>
        <v>0.975</v>
      </c>
      <c r="K17" s="13" t="n">
        <f aca="false">IF(A17=0,-Capitalization!B$19,IF(A17&lt;=Inputs!$B$21,0,I17*J17-IF(AND(A17=Inputs!$B$22,Capitalization!B$18&gt;0),Inputs!$B$23,0)))</f>
        <v>2.3910077771798</v>
      </c>
      <c r="L17" s="23" t="n">
        <f aca="false">IF(H17&gt;0,G17/H17,"")</f>
        <v>1.27055640707656</v>
      </c>
      <c r="M17" s="13" t="n">
        <f aca="false">IF(A17=0,-Capitalization!B$4,IF(A17&lt;=Inputs!$B$21,0,G17))</f>
        <v>11.5162875607542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IF(A18=0,"Equity",IF(A18&lt;=Inputs!$B$21,"Construction",IF(A18&lt;=Inputs!$B$21+Inputs!$B$5,"Queue wait",IF(A18&lt;=Inputs!$B$21+Configurations!$B$15,"Grid ops","—"))))</f>
        <v>Grid ops</v>
      </c>
      <c r="C18" s="4" t="n">
        <f aca="false">IF(A18&lt;=Inputs!$B$21,"",A18-Inputs!$B$21-1)</f>
        <v>10</v>
      </c>
      <c r="D18" s="14" t="n">
        <f aca="false">IF(OR(A18&lt;=Inputs!$B$21,A18&gt;Inputs!$B$21+Configurations!$B$15),0,Configurations!$B$4*Configurations!$B$5*8760*(1-Configurations!$B$6)^C18*Configurations!$B$7*(1-Configurations!$B$8))</f>
        <v>218926.482275105</v>
      </c>
      <c r="E18" s="13" t="n">
        <f aca="false">IF(OR(A18&lt;=Inputs!$B$21,A18&gt;Inputs!$B$21+Configurations!$B$15),0,IF(A18&lt;=Inputs!$B$21+Inputs!$B$5,0,D18*Inputs!$B$18/1000000))</f>
        <v>15.7627067238076</v>
      </c>
      <c r="F18" s="13" t="n">
        <f aca="false">IF(OR(A18&lt;=Inputs!$B$21,A18&gt;Inputs!$B$21+Configurations!$B$15),0,IF(A18&lt;=Inputs!$B$21+Inputs!$B$5,Configurations!$B$13,Configurations!$B$12+Configurations!$B$13+Inputs!$B$20*E18))</f>
        <v>4.32444060085711</v>
      </c>
      <c r="G18" s="13" t="n">
        <f aca="false">E18-F18</f>
        <v>11.4382661229504</v>
      </c>
      <c r="H18" s="21" t="n">
        <f aca="false">IF(AND(A18&gt;Inputs!$B$21,A18&lt;=Inputs!$B$21+Inputs!$B$12),Capitalization!B$12,0)</f>
        <v>9.06397189185185</v>
      </c>
      <c r="I18" s="13" t="n">
        <f aca="false">G18-H18</f>
        <v>2.37429423109859</v>
      </c>
      <c r="J18" s="22" t="n">
        <f aca="false">IF(A18&lt;=Inputs!$B$21,"",IF(AND(A18&lt;=Inputs!$B$22,Capitalization!B$18&gt;0),Inputs!$B$25,Inputs!$B$26))</f>
        <v>0.975</v>
      </c>
      <c r="K18" s="13" t="n">
        <f aca="false">IF(A18=0,-Capitalization!B$19,IF(A18&lt;=Inputs!$B$21,0,I18*J18-IF(AND(A18=Inputs!$B$22,Capitalization!B$18&gt;0),Inputs!$B$23,0)))</f>
        <v>2.31493687532112</v>
      </c>
      <c r="L18" s="23" t="n">
        <f aca="false">IF(H18&gt;0,G18/H18,"")</f>
        <v>1.26194854302593</v>
      </c>
      <c r="M18" s="13" t="n">
        <f aca="false">IF(A18=0,-Capitalization!B$4,IF(A18&lt;=Inputs!$B$21,0,G18))</f>
        <v>11.4382661229504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IF(A19=0,"Equity",IF(A19&lt;=Inputs!$B$21,"Construction",IF(A19&lt;=Inputs!$B$21+Inputs!$B$5,"Queue wait",IF(A19&lt;=Inputs!$B$21+Configurations!$B$15,"Grid ops","—"))))</f>
        <v>Grid ops</v>
      </c>
      <c r="C19" s="4" t="n">
        <f aca="false">IF(A19&lt;=Inputs!$B$21,"",A19-Inputs!$B$21-1)</f>
        <v>11</v>
      </c>
      <c r="D19" s="14" t="n">
        <f aca="false">IF(OR(A19&lt;=Inputs!$B$21,A19&gt;Inputs!$B$21+Configurations!$B$15),0,Configurations!$B$4*Configurations!$B$5*8760*(1-Configurations!$B$6)^C19*Configurations!$B$7*(1-Configurations!$B$8))</f>
        <v>217831.849863729</v>
      </c>
      <c r="E19" s="13" t="n">
        <f aca="false">IF(OR(A19&lt;=Inputs!$B$21,A19&gt;Inputs!$B$21+Configurations!$B$15),0,IF(A19&lt;=Inputs!$B$21+Inputs!$B$5,0,D19*Inputs!$B$18/1000000))</f>
        <v>15.6838931901885</v>
      </c>
      <c r="F19" s="13" t="n">
        <f aca="false">IF(OR(A19&lt;=Inputs!$B$21,A19&gt;Inputs!$B$21+Configurations!$B$15),0,IF(A19&lt;=Inputs!$B$21+Inputs!$B$5,Configurations!$B$13,Configurations!$B$12+Configurations!$B$13+Inputs!$B$20*E19))</f>
        <v>4.32325839785283</v>
      </c>
      <c r="G19" s="13" t="n">
        <f aca="false">E19-F19</f>
        <v>11.3606347923357</v>
      </c>
      <c r="H19" s="21" t="n">
        <f aca="false">IF(AND(A19&gt;Inputs!$B$21,A19&lt;=Inputs!$B$21+Inputs!$B$12),Capitalization!B$12,0)</f>
        <v>9.06397189185185</v>
      </c>
      <c r="I19" s="13" t="n">
        <f aca="false">G19-H19</f>
        <v>2.29666290048383</v>
      </c>
      <c r="J19" s="22" t="n">
        <f aca="false">IF(A19&lt;=Inputs!$B$21,"",IF(AND(A19&lt;=Inputs!$B$22,Capitalization!B$18&gt;0),Inputs!$B$25,Inputs!$B$26))</f>
        <v>0.975</v>
      </c>
      <c r="K19" s="13" t="n">
        <f aca="false">IF(A19=0,-Capitalization!B$19,IF(A19&lt;=Inputs!$B$21,0,I19*J19-IF(AND(A19=Inputs!$B$22,Capitalization!B$18&gt;0),Inputs!$B$23,0)))</f>
        <v>2.23924632797174</v>
      </c>
      <c r="L19" s="23" t="n">
        <f aca="false">IF(H19&gt;0,G19/H19,"")</f>
        <v>1.25338371829556</v>
      </c>
      <c r="M19" s="13" t="n">
        <f aca="false">IF(A19=0,-Capitalization!B$4,IF(A19&lt;=Inputs!$B$21,0,G19))</f>
        <v>11.3606347923357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IF(A20=0,"Equity",IF(A20&lt;=Inputs!$B$21,"Construction",IF(A20&lt;=Inputs!$B$21+Inputs!$B$5,"Queue wait",IF(A20&lt;=Inputs!$B$21+Configurations!$B$15,"Grid ops","—"))))</f>
        <v>Grid ops</v>
      </c>
      <c r="C20" s="4" t="n">
        <f aca="false">IF(A20&lt;=Inputs!$B$21,"",A20-Inputs!$B$21-1)</f>
        <v>12</v>
      </c>
      <c r="D20" s="14" t="n">
        <f aca="false">IF(OR(A20&lt;=Inputs!$B$21,A20&gt;Inputs!$B$21+Configurations!$B$15),0,Configurations!$B$4*Configurations!$B$5*8760*(1-Configurations!$B$6)^C20*Configurations!$B$7*(1-Configurations!$B$8))</f>
        <v>216742.690614411</v>
      </c>
      <c r="E20" s="13" t="n">
        <f aca="false">IF(OR(A20&lt;=Inputs!$B$21,A20&gt;Inputs!$B$21+Configurations!$B$15),0,IF(A20&lt;=Inputs!$B$21+Inputs!$B$5,0,D20*Inputs!$B$18/1000000))</f>
        <v>15.6054737242376</v>
      </c>
      <c r="F20" s="13" t="n">
        <f aca="false">IF(OR(A20&lt;=Inputs!$B$21,A20&gt;Inputs!$B$21+Configurations!$B$15),0,IF(A20&lt;=Inputs!$B$21+Inputs!$B$5,Configurations!$B$13,Configurations!$B$12+Configurations!$B$13+Inputs!$B$20*E20))</f>
        <v>4.32208210586356</v>
      </c>
      <c r="G20" s="13" t="n">
        <f aca="false">E20-F20</f>
        <v>11.283391618374</v>
      </c>
      <c r="H20" s="21" t="n">
        <f aca="false">IF(AND(A20&gt;Inputs!$B$21,A20&lt;=Inputs!$B$21+Inputs!$B$12),Capitalization!B$12,0)</f>
        <v>9.06397189185185</v>
      </c>
      <c r="I20" s="13" t="n">
        <f aca="false">G20-H20</f>
        <v>2.21941972652216</v>
      </c>
      <c r="J20" s="22" t="n">
        <f aca="false">IF(A20&lt;=Inputs!$B$21,"",IF(AND(A20&lt;=Inputs!$B$22,Capitalization!B$18&gt;0),Inputs!$B$25,Inputs!$B$26))</f>
        <v>0.975</v>
      </c>
      <c r="K20" s="13" t="n">
        <f aca="false">IF(A20=0,-Capitalization!B$19,IF(A20&lt;=Inputs!$B$21,0,I20*J20-IF(AND(A20=Inputs!$B$22,Capitalization!B$18&gt;0),Inputs!$B$23,0)))</f>
        <v>2.1639342333591</v>
      </c>
      <c r="L20" s="23" t="n">
        <f aca="false">IF(H20&gt;0,G20/H20,"")</f>
        <v>1.24486171768883</v>
      </c>
      <c r="M20" s="13" t="n">
        <f aca="false">IF(A20=0,-Capitalization!B$4,IF(A20&lt;=Inputs!$B$21,0,G20))</f>
        <v>11.283391618374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IF(A21=0,"Equity",IF(A21&lt;=Inputs!$B$21,"Construction",IF(A21&lt;=Inputs!$B$21+Inputs!$B$5,"Queue wait",IF(A21&lt;=Inputs!$B$21+Configurations!$B$15,"Grid ops","—"))))</f>
        <v>Grid ops</v>
      </c>
      <c r="C21" s="4" t="n">
        <f aca="false">IF(A21&lt;=Inputs!$B$21,"",A21-Inputs!$B$21-1)</f>
        <v>13</v>
      </c>
      <c r="D21" s="14" t="n">
        <f aca="false">IF(OR(A21&lt;=Inputs!$B$21,A21&gt;Inputs!$B$21+Configurations!$B$15),0,Configurations!$B$4*Configurations!$B$5*8760*(1-Configurations!$B$6)^C21*Configurations!$B$7*(1-Configurations!$B$8))</f>
        <v>215658.977161339</v>
      </c>
      <c r="E21" s="13" t="n">
        <f aca="false">IF(OR(A21&lt;=Inputs!$B$21,A21&gt;Inputs!$B$21+Configurations!$B$15),0,IF(A21&lt;=Inputs!$B$21+Inputs!$B$5,0,D21*Inputs!$B$18/1000000))</f>
        <v>15.5274463556164</v>
      </c>
      <c r="F21" s="13" t="n">
        <f aca="false">IF(OR(A21&lt;=Inputs!$B$21,A21&gt;Inputs!$B$21+Configurations!$B$15),0,IF(A21&lt;=Inputs!$B$21+Inputs!$B$5,Configurations!$B$13,Configurations!$B$12+Configurations!$B$13+Inputs!$B$20*E21))</f>
        <v>4.32091169533425</v>
      </c>
      <c r="G21" s="13" t="n">
        <f aca="false">E21-F21</f>
        <v>11.2065346602821</v>
      </c>
      <c r="H21" s="21" t="n">
        <f aca="false">IF(AND(A21&gt;Inputs!$B$21,A21&lt;=Inputs!$B$21+Inputs!$B$12),Capitalization!B$12,0)</f>
        <v>9.06397189185185</v>
      </c>
      <c r="I21" s="13" t="n">
        <f aca="false">G21-H21</f>
        <v>2.14256276843029</v>
      </c>
      <c r="J21" s="22" t="n">
        <f aca="false">IF(A21&lt;=Inputs!$B$21,"",IF(AND(A21&lt;=Inputs!$B$22,Capitalization!B$18&gt;0),Inputs!$B$25,Inputs!$B$26))</f>
        <v>0.975</v>
      </c>
      <c r="K21" s="13" t="n">
        <f aca="false">IF(A21=0,-Capitalization!B$19,IF(A21&lt;=Inputs!$B$21,0,I21*J21-IF(AND(A21=Inputs!$B$22,Capitalization!B$18&gt;0),Inputs!$B$23,0)))</f>
        <v>2.08899869921953</v>
      </c>
      <c r="L21" s="23" t="n">
        <f aca="false">IF(H21&gt;0,G21/H21,"")</f>
        <v>1.23638232708515</v>
      </c>
      <c r="M21" s="13" t="n">
        <f aca="false">IF(A21=0,-Capitalization!B$4,IF(A21&lt;=Inputs!$B$21,0,G21))</f>
        <v>11.2065346602821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IF(A22=0,"Equity",IF(A22&lt;=Inputs!$B$21,"Construction",IF(A22&lt;=Inputs!$B$21+Inputs!$B$5,"Queue wait",IF(A22&lt;=Inputs!$B$21+Configurations!$B$15,"Grid ops","—"))))</f>
        <v>Grid ops</v>
      </c>
      <c r="C22" s="4" t="n">
        <f aca="false">IF(A22&lt;=Inputs!$B$21,"",A22-Inputs!$B$21-1)</f>
        <v>14</v>
      </c>
      <c r="D22" s="14" t="n">
        <f aca="false">IF(OR(A22&lt;=Inputs!$B$21,A22&gt;Inputs!$B$21+Configurations!$B$15),0,Configurations!$B$4*Configurations!$B$5*8760*(1-Configurations!$B$6)^C22*Configurations!$B$7*(1-Configurations!$B$8))</f>
        <v>214580.682275532</v>
      </c>
      <c r="E22" s="13" t="n">
        <f aca="false">IF(OR(A22&lt;=Inputs!$B$21,A22&gt;Inputs!$B$21+Configurations!$B$15),0,IF(A22&lt;=Inputs!$B$21+Inputs!$B$5,0,D22*Inputs!$B$18/1000000))</f>
        <v>15.4498091238383</v>
      </c>
      <c r="F22" s="13" t="n">
        <f aca="false">IF(OR(A22&lt;=Inputs!$B$21,A22&gt;Inputs!$B$21+Configurations!$B$15),0,IF(A22&lt;=Inputs!$B$21+Inputs!$B$5,Configurations!$B$13,Configurations!$B$12+Configurations!$B$13+Inputs!$B$20*E22))</f>
        <v>4.31974713685758</v>
      </c>
      <c r="G22" s="13" t="n">
        <f aca="false">E22-F22</f>
        <v>11.1300619869807</v>
      </c>
      <c r="H22" s="21" t="n">
        <f aca="false">IF(AND(A22&gt;Inputs!$B$21,A22&lt;=Inputs!$B$21+Inputs!$B$12),Capitalization!B$12,0)</f>
        <v>9.06397189185185</v>
      </c>
      <c r="I22" s="13" t="n">
        <f aca="false">G22-H22</f>
        <v>2.06609009512888</v>
      </c>
      <c r="J22" s="22" t="n">
        <f aca="false">IF(A22&lt;=Inputs!$B$21,"",IF(AND(A22&lt;=Inputs!$B$22,Capitalization!B$18&gt;0),Inputs!$B$25,Inputs!$B$26))</f>
        <v>0.975</v>
      </c>
      <c r="K22" s="13" t="n">
        <f aca="false">IF(A22=0,-Capitalization!B$19,IF(A22&lt;=Inputs!$B$21,0,I22*J22-IF(AND(A22=Inputs!$B$22,Capitalization!B$18&gt;0),Inputs!$B$23,0)))</f>
        <v>2.01443784275066</v>
      </c>
      <c r="L22" s="23" t="n">
        <f aca="false">IF(H22&gt;0,G22/H22,"")</f>
        <v>1.22794533343448</v>
      </c>
      <c r="M22" s="13" t="n">
        <f aca="false">IF(A22=0,-Capitalization!B$4,IF(A22&lt;=Inputs!$B$21,0,G22))</f>
        <v>11.1300619869807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IF(A23=0,"Equity",IF(A23&lt;=Inputs!$B$21,"Construction",IF(A23&lt;=Inputs!$B$21+Inputs!$B$5,"Queue wait",IF(A23&lt;=Inputs!$B$21+Configurations!$B$15,"Grid ops","—"))))</f>
        <v>Grid ops</v>
      </c>
      <c r="C23" s="4" t="n">
        <f aca="false">IF(A23&lt;=Inputs!$B$21,"",A23-Inputs!$B$21-1)</f>
        <v>15</v>
      </c>
      <c r="D23" s="14" t="n">
        <f aca="false">IF(OR(A23&lt;=Inputs!$B$21,A23&gt;Inputs!$B$21+Configurations!$B$15),0,Configurations!$B$4*Configurations!$B$5*8760*(1-Configurations!$B$6)^C23*Configurations!$B$7*(1-Configurations!$B$8))</f>
        <v>213507.778864154</v>
      </c>
      <c r="E23" s="13" t="n">
        <f aca="false">IF(OR(A23&lt;=Inputs!$B$21,A23&gt;Inputs!$B$21+Configurations!$B$15),0,IF(A23&lt;=Inputs!$B$21+Inputs!$B$5,0,D23*Inputs!$B$18/1000000))</f>
        <v>15.3725600782191</v>
      </c>
      <c r="F23" s="13" t="n">
        <f aca="false">IF(OR(A23&lt;=Inputs!$B$21,A23&gt;Inputs!$B$21+Configurations!$B$15),0,IF(A23&lt;=Inputs!$B$21+Inputs!$B$5,Configurations!$B$13,Configurations!$B$12+Configurations!$B$13+Inputs!$B$20*E23))</f>
        <v>4.31858840117329</v>
      </c>
      <c r="G23" s="13" t="n">
        <f aca="false">E23-F23</f>
        <v>11.0539716770458</v>
      </c>
      <c r="H23" s="21" t="n">
        <f aca="false">IF(AND(A23&gt;Inputs!$B$21,A23&lt;=Inputs!$B$21+Inputs!$B$12),Capitalization!B$12,0)</f>
        <v>9.06397189185185</v>
      </c>
      <c r="I23" s="13" t="n">
        <f aca="false">G23-H23</f>
        <v>1.98999978519397</v>
      </c>
      <c r="J23" s="22" t="n">
        <f aca="false">IF(A23&lt;=Inputs!$B$21,"",IF(AND(A23&lt;=Inputs!$B$22,Capitalization!B$18&gt;0),Inputs!$B$25,Inputs!$B$26))</f>
        <v>0.975</v>
      </c>
      <c r="K23" s="13" t="n">
        <f aca="false">IF(A23=0,-Capitalization!B$19,IF(A23&lt;=Inputs!$B$21,0,I23*J23-IF(AND(A23=Inputs!$B$22,Capitalization!B$18&gt;0),Inputs!$B$23,0)))</f>
        <v>1.94024979056412</v>
      </c>
      <c r="L23" s="23" t="n">
        <f aca="false">IF(H23&gt;0,G23/H23,"")</f>
        <v>1.21955052475206</v>
      </c>
      <c r="M23" s="13" t="n">
        <f aca="false">IF(A23=0,-Capitalization!B$4,IF(A23&lt;=Inputs!$B$21,0,G23))</f>
        <v>11.0539716770458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IF(A24=0,"Equity",IF(A24&lt;=Inputs!$B$21,"Construction",IF(A24&lt;=Inputs!$B$21+Inputs!$B$5,"Queue wait",IF(A24&lt;=Inputs!$B$21+Configurations!$B$15,"Grid ops","—"))))</f>
        <v>Grid ops</v>
      </c>
      <c r="C24" s="4" t="n">
        <f aca="false">IF(A24&lt;=Inputs!$B$21,"",A24-Inputs!$B$21-1)</f>
        <v>16</v>
      </c>
      <c r="D24" s="14" t="n">
        <f aca="false">IF(OR(A24&lt;=Inputs!$B$21,A24&gt;Inputs!$B$21+Configurations!$B$15),0,Configurations!$B$4*Configurations!$B$5*8760*(1-Configurations!$B$6)^C24*Configurations!$B$7*(1-Configurations!$B$8))</f>
        <v>212440.239969834</v>
      </c>
      <c r="E24" s="13" t="n">
        <f aca="false">IF(OR(A24&lt;=Inputs!$B$21,A24&gt;Inputs!$B$21+Configurations!$B$15),0,IF(A24&lt;=Inputs!$B$21+Inputs!$B$5,0,D24*Inputs!$B$18/1000000))</f>
        <v>15.295697277828</v>
      </c>
      <c r="F24" s="13" t="n">
        <f aca="false">IF(OR(A24&lt;=Inputs!$B$21,A24&gt;Inputs!$B$21+Configurations!$B$15),0,IF(A24&lt;=Inputs!$B$21+Inputs!$B$5,Configurations!$B$13,Configurations!$B$12+Configurations!$B$13+Inputs!$B$20*E24))</f>
        <v>4.31743545916742</v>
      </c>
      <c r="G24" s="13" t="n">
        <f aca="false">E24-F24</f>
        <v>10.9782618186606</v>
      </c>
      <c r="H24" s="21" t="n">
        <f aca="false">IF(AND(A24&gt;Inputs!$B$21,A24&lt;=Inputs!$B$21+Inputs!$B$12),Capitalization!B$12,0)</f>
        <v>9.06397189185185</v>
      </c>
      <c r="I24" s="13" t="n">
        <f aca="false">G24-H24</f>
        <v>1.91428992680874</v>
      </c>
      <c r="J24" s="22" t="n">
        <f aca="false">IF(A24&lt;=Inputs!$B$21,"",IF(AND(A24&lt;=Inputs!$B$22,Capitalization!B$18&gt;0),Inputs!$B$25,Inputs!$B$26))</f>
        <v>0.975</v>
      </c>
      <c r="K24" s="13" t="n">
        <f aca="false">IF(A24=0,-Capitalization!B$19,IF(A24&lt;=Inputs!$B$21,0,I24*J24-IF(AND(A24=Inputs!$B$22,Capitalization!B$18&gt;0),Inputs!$B$23,0)))</f>
        <v>1.86643267863852</v>
      </c>
      <c r="L24" s="23" t="n">
        <f aca="false">IF(H24&gt;0,G24/H24,"")</f>
        <v>1.21119769011305</v>
      </c>
      <c r="M24" s="13" t="n">
        <f aca="false">IF(A24=0,-Capitalization!B$4,IF(A24&lt;=Inputs!$B$21,0,G24))</f>
        <v>10.9782618186606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IF(A25=0,"Equity",IF(A25&lt;=Inputs!$B$21,"Construction",IF(A25&lt;=Inputs!$B$21+Inputs!$B$5,"Queue wait",IF(A25&lt;=Inputs!$B$21+Configurations!$B$15,"Grid ops","—"))))</f>
        <v>Grid ops</v>
      </c>
      <c r="C25" s="4" t="n">
        <f aca="false">IF(A25&lt;=Inputs!$B$21,"",A25-Inputs!$B$21-1)</f>
        <v>17</v>
      </c>
      <c r="D25" s="14" t="n">
        <f aca="false">IF(OR(A25&lt;=Inputs!$B$21,A25&gt;Inputs!$B$21+Configurations!$B$15),0,Configurations!$B$4*Configurations!$B$5*8760*(1-Configurations!$B$6)^C25*Configurations!$B$7*(1-Configurations!$B$8))</f>
        <v>211378.038769984</v>
      </c>
      <c r="E25" s="13" t="n">
        <f aca="false">IF(OR(A25&lt;=Inputs!$B$21,A25&gt;Inputs!$B$21+Configurations!$B$15),0,IF(A25&lt;=Inputs!$B$21+Inputs!$B$5,0,D25*Inputs!$B$18/1000000))</f>
        <v>15.2192187914389</v>
      </c>
      <c r="F25" s="13" t="n">
        <f aca="false">IF(OR(A25&lt;=Inputs!$B$21,A25&gt;Inputs!$B$21+Configurations!$B$15),0,IF(A25&lt;=Inputs!$B$21+Inputs!$B$5,Configurations!$B$13,Configurations!$B$12+Configurations!$B$13+Inputs!$B$20*E25))</f>
        <v>4.31628828187158</v>
      </c>
      <c r="G25" s="13" t="n">
        <f aca="false">E25-F25</f>
        <v>10.9029305095673</v>
      </c>
      <c r="H25" s="21" t="n">
        <f aca="false">IF(AND(A25&gt;Inputs!$B$21,A25&lt;=Inputs!$B$21+Inputs!$B$12),Capitalization!B$12,0)</f>
        <v>9.06397189185185</v>
      </c>
      <c r="I25" s="13" t="n">
        <f aca="false">G25-H25</f>
        <v>1.83895861771544</v>
      </c>
      <c r="J25" s="22" t="n">
        <f aca="false">IF(A25&lt;=Inputs!$B$21,"",IF(AND(A25&lt;=Inputs!$B$22,Capitalization!B$18&gt;0),Inputs!$B$25,Inputs!$B$26))</f>
        <v>0.975</v>
      </c>
      <c r="K25" s="13" t="n">
        <f aca="false">IF(A25=0,-Capitalization!B$19,IF(A25&lt;=Inputs!$B$21,0,I25*J25-IF(AND(A25=Inputs!$B$22,Capitalization!B$18&gt;0),Inputs!$B$23,0)))</f>
        <v>1.79298465227255</v>
      </c>
      <c r="L25" s="23" t="n">
        <f aca="false">IF(H25&gt;0,G25/H25,"")</f>
        <v>1.20288661964724</v>
      </c>
      <c r="M25" s="13" t="n">
        <f aca="false">IF(A25=0,-Capitalization!B$4,IF(A25&lt;=Inputs!$B$21,0,G25))</f>
        <v>10.9029305095673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IF(A26=0,"Equity",IF(A26&lt;=Inputs!$B$21,"Construction",IF(A26&lt;=Inputs!$B$21+Inputs!$B$5,"Queue wait",IF(A26&lt;=Inputs!$B$21+Configurations!$B$15,"Grid ops","—"))))</f>
        <v>Grid ops</v>
      </c>
      <c r="C26" s="4" t="n">
        <f aca="false">IF(A26&lt;=Inputs!$B$21,"",A26-Inputs!$B$21-1)</f>
        <v>18</v>
      </c>
      <c r="D26" s="14" t="n">
        <f aca="false">IF(OR(A26&lt;=Inputs!$B$21,A26&gt;Inputs!$B$21+Configurations!$B$15),0,Configurations!$B$4*Configurations!$B$5*8760*(1-Configurations!$B$6)^C26*Configurations!$B$7*(1-Configurations!$B$8))</f>
        <v>210321.148576134</v>
      </c>
      <c r="E26" s="13" t="n">
        <f aca="false">IF(OR(A26&lt;=Inputs!$B$21,A26&gt;Inputs!$B$21+Configurations!$B$15),0,IF(A26&lt;=Inputs!$B$21+Inputs!$B$5,0,D26*Inputs!$B$18/1000000))</f>
        <v>15.1431226974817</v>
      </c>
      <c r="F26" s="13" t="n">
        <f aca="false">IF(OR(A26&lt;=Inputs!$B$21,A26&gt;Inputs!$B$21+Configurations!$B$15),0,IF(A26&lt;=Inputs!$B$21+Inputs!$B$5,Configurations!$B$13,Configurations!$B$12+Configurations!$B$13+Inputs!$B$20*E26))</f>
        <v>4.31514684046223</v>
      </c>
      <c r="G26" s="13" t="n">
        <f aca="false">E26-F26</f>
        <v>10.8279758570195</v>
      </c>
      <c r="H26" s="21" t="n">
        <f aca="false">IF(AND(A26&gt;Inputs!$B$21,A26&lt;=Inputs!$B$21+Inputs!$B$12),Capitalization!B$12,0)</f>
        <v>9.06397189185185</v>
      </c>
      <c r="I26" s="13" t="n">
        <f aca="false">G26-H26</f>
        <v>1.7640039651676</v>
      </c>
      <c r="J26" s="22" t="n">
        <f aca="false">IF(A26&lt;=Inputs!$B$21,"",IF(AND(A26&lt;=Inputs!$B$22,Capitalization!B$18&gt;0),Inputs!$B$25,Inputs!$B$26))</f>
        <v>0.975</v>
      </c>
      <c r="K26" s="13" t="n">
        <f aca="false">IF(A26=0,-Capitalization!B$19,IF(A26&lt;=Inputs!$B$21,0,I26*J26-IF(AND(A26=Inputs!$B$22,Capitalization!B$18&gt;0),Inputs!$B$23,0)))</f>
        <v>1.71990386603841</v>
      </c>
      <c r="L26" s="23" t="n">
        <f aca="false">IF(H26&gt;0,G26/H26,"")</f>
        <v>1.19461710453376</v>
      </c>
      <c r="M26" s="13" t="n">
        <f aca="false">IF(A26=0,-Capitalization!B$4,IF(A26&lt;=Inputs!$B$21,0,G26))</f>
        <v>10.8279758570195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IF(A27=0,"Equity",IF(A27&lt;=Inputs!$B$21,"Construction",IF(A27&lt;=Inputs!$B$21+Inputs!$B$5,"Queue wait",IF(A27&lt;=Inputs!$B$21+Configurations!$B$15,"Grid ops","—"))))</f>
        <v>Grid ops</v>
      </c>
      <c r="C27" s="4" t="n">
        <f aca="false">IF(A27&lt;=Inputs!$B$21,"",A27-Inputs!$B$21-1)</f>
        <v>19</v>
      </c>
      <c r="D27" s="14" t="n">
        <f aca="false">IF(OR(A27&lt;=Inputs!$B$21,A27&gt;Inputs!$B$21+Configurations!$B$15),0,Configurations!$B$4*Configurations!$B$5*8760*(1-Configurations!$B$6)^C27*Configurations!$B$7*(1-Configurations!$B$8))</f>
        <v>209269.542833254</v>
      </c>
      <c r="E27" s="13" t="n">
        <f aca="false">IF(OR(A27&lt;=Inputs!$B$21,A27&gt;Inputs!$B$21+Configurations!$B$15),0,IF(A27&lt;=Inputs!$B$21+Inputs!$B$5,0,D27*Inputs!$B$18/1000000))</f>
        <v>15.0674070839943</v>
      </c>
      <c r="F27" s="13" t="n">
        <f aca="false">IF(OR(A27&lt;=Inputs!$B$21,A27&gt;Inputs!$B$21+Configurations!$B$15),0,IF(A27&lt;=Inputs!$B$21+Inputs!$B$5,Configurations!$B$13,Configurations!$B$12+Configurations!$B$13+Inputs!$B$20*E27))</f>
        <v>4.31401110625991</v>
      </c>
      <c r="G27" s="13" t="n">
        <f aca="false">E27-F27</f>
        <v>10.7533959777344</v>
      </c>
      <c r="H27" s="21" t="n">
        <f aca="false">IF(AND(A27&gt;Inputs!$B$21,A27&lt;=Inputs!$B$21+Inputs!$B$12),Capitalization!B$12,0)</f>
        <v>9.06397189185185</v>
      </c>
      <c r="I27" s="13" t="n">
        <f aca="false">G27-H27</f>
        <v>1.6894240858825</v>
      </c>
      <c r="J27" s="22" t="n">
        <f aca="false">IF(A27&lt;=Inputs!$B$21,"",IF(AND(A27&lt;=Inputs!$B$22,Capitalization!B$18&gt;0),Inputs!$B$25,Inputs!$B$26))</f>
        <v>0.975</v>
      </c>
      <c r="K27" s="13" t="n">
        <f aca="false">IF(A27=0,-Capitalization!B$19,IF(A27&lt;=Inputs!$B$21,0,I27*J27-IF(AND(A27=Inputs!$B$22,Capitalization!B$18&gt;0),Inputs!$B$23,0)))</f>
        <v>1.64718848373544</v>
      </c>
      <c r="L27" s="23" t="n">
        <f aca="false">IF(H27&gt;0,G27/H27,"")</f>
        <v>1.18638893699585</v>
      </c>
      <c r="M27" s="13" t="n">
        <f aca="false">IF(A27=0,-Capitalization!B$4,IF(A27&lt;=Inputs!$B$21,0,G27))</f>
        <v>10.7533959777344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IF(A28=0,"Equity",IF(A28&lt;=Inputs!$B$21,"Construction",IF(A28&lt;=Inputs!$B$21+Inputs!$B$5,"Queue wait",IF(A28&lt;=Inputs!$B$21+Configurations!$B$15,"Grid ops","—"))))</f>
        <v>Grid ops</v>
      </c>
      <c r="C28" s="4" t="n">
        <f aca="false">IF(A28&lt;=Inputs!$B$21,"",A28-Inputs!$B$21-1)</f>
        <v>20</v>
      </c>
      <c r="D28" s="14" t="n">
        <f aca="false">IF(OR(A28&lt;=Inputs!$B$21,A28&gt;Inputs!$B$21+Configurations!$B$15),0,Configurations!$B$4*Configurations!$B$5*8760*(1-Configurations!$B$6)^C28*Configurations!$B$7*(1-Configurations!$B$8))</f>
        <v>208223.195119087</v>
      </c>
      <c r="E28" s="13" t="n">
        <f aca="false">IF(OR(A28&lt;=Inputs!$B$21,A28&gt;Inputs!$B$21+Configurations!$B$15),0,IF(A28&lt;=Inputs!$B$21+Inputs!$B$5,0,D28*Inputs!$B$18/1000000))</f>
        <v>14.9920700485743</v>
      </c>
      <c r="F28" s="13" t="n">
        <f aca="false">IF(OR(A28&lt;=Inputs!$B$21,A28&gt;Inputs!$B$21+Configurations!$B$15),0,IF(A28&lt;=Inputs!$B$21+Inputs!$B$5,Configurations!$B$13,Configurations!$B$12+Configurations!$B$13+Inputs!$B$20*E28))</f>
        <v>4.31288105072861</v>
      </c>
      <c r="G28" s="13" t="n">
        <f aca="false">E28-F28</f>
        <v>10.6791889978457</v>
      </c>
      <c r="H28" s="21" t="n">
        <f aca="false">IF(AND(A28&gt;Inputs!$B$21,A28&lt;=Inputs!$B$21+Inputs!$B$12),Capitalization!B$12,0)</f>
        <v>0</v>
      </c>
      <c r="I28" s="13" t="n">
        <f aca="false">G28-H28</f>
        <v>10.6791889978457</v>
      </c>
      <c r="J28" s="22" t="n">
        <f aca="false">IF(A28&lt;=Inputs!$B$21,"",IF(AND(A28&lt;=Inputs!$B$22,Capitalization!B$18&gt;0),Inputs!$B$25,Inputs!$B$26))</f>
        <v>0.975</v>
      </c>
      <c r="K28" s="13" t="n">
        <f aca="false">IF(A28=0,-Capitalization!B$19,IF(A28&lt;=Inputs!$B$21,0,I28*J28-IF(AND(A28=Inputs!$B$22,Capitalization!B$18&gt;0),Inputs!$B$23,0)))</f>
        <v>10.4122092728995</v>
      </c>
      <c r="L28" s="23" t="str">
        <f aca="false">IF(H28&gt;0,G28/H28,"")</f>
        <v/>
      </c>
      <c r="M28" s="13" t="n">
        <f aca="false">IF(A28=0,-Capitalization!B$4,IF(A28&lt;=Inputs!$B$21,0,G28))</f>
        <v>10.6791889978457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IF(A29=0,"Equity",IF(A29&lt;=Inputs!$B$21,"Construction",IF(A29&lt;=Inputs!$B$21+Inputs!$B$5,"Queue wait",IF(A29&lt;=Inputs!$B$21+Configurations!$B$15,"Grid ops","—"))))</f>
        <v>Grid ops</v>
      </c>
      <c r="C29" s="4" t="n">
        <f aca="false">IF(A29&lt;=Inputs!$B$21,"",A29-Inputs!$B$21-1)</f>
        <v>21</v>
      </c>
      <c r="D29" s="14" t="n">
        <f aca="false">IF(OR(A29&lt;=Inputs!$B$21,A29&gt;Inputs!$B$21+Configurations!$B$15),0,Configurations!$B$4*Configurations!$B$5*8760*(1-Configurations!$B$6)^C29*Configurations!$B$7*(1-Configurations!$B$8))</f>
        <v>207182.079143492</v>
      </c>
      <c r="E29" s="13" t="n">
        <f aca="false">IF(OR(A29&lt;=Inputs!$B$21,A29&gt;Inputs!$B$21+Configurations!$B$15),0,IF(A29&lt;=Inputs!$B$21+Inputs!$B$5,0,D29*Inputs!$B$18/1000000))</f>
        <v>14.9171096983314</v>
      </c>
      <c r="F29" s="13" t="n">
        <f aca="false">IF(OR(A29&lt;=Inputs!$B$21,A29&gt;Inputs!$B$21+Configurations!$B$15),0,IF(A29&lt;=Inputs!$B$21+Inputs!$B$5,Configurations!$B$13,Configurations!$B$12+Configurations!$B$13+Inputs!$B$20*E29))</f>
        <v>4.31175664547497</v>
      </c>
      <c r="G29" s="13" t="n">
        <f aca="false">E29-F29</f>
        <v>10.6053530528565</v>
      </c>
      <c r="H29" s="21" t="n">
        <f aca="false">IF(AND(A29&gt;Inputs!$B$21,A29&lt;=Inputs!$B$21+Inputs!$B$12),Capitalization!B$12,0)</f>
        <v>0</v>
      </c>
      <c r="I29" s="13" t="n">
        <f aca="false">G29-H29</f>
        <v>10.6053530528565</v>
      </c>
      <c r="J29" s="22" t="n">
        <f aca="false">IF(A29&lt;=Inputs!$B$21,"",IF(AND(A29&lt;=Inputs!$B$22,Capitalization!B$18&gt;0),Inputs!$B$25,Inputs!$B$26))</f>
        <v>0.975</v>
      </c>
      <c r="K29" s="13" t="n">
        <f aca="false">IF(A29=0,-Capitalization!B$19,IF(A29&lt;=Inputs!$B$21,0,I29*J29-IF(AND(A29=Inputs!$B$22,Capitalization!B$18&gt;0),Inputs!$B$23,0)))</f>
        <v>10.340219226535</v>
      </c>
      <c r="L29" s="23" t="str">
        <f aca="false">IF(H29&gt;0,G29/H29,"")</f>
        <v/>
      </c>
      <c r="M29" s="13" t="n">
        <f aca="false">IF(A29=0,-Capitalization!B$4,IF(A29&lt;=Inputs!$B$21,0,G29))</f>
        <v>10.6053530528565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IF(A30=0,"Equity",IF(A30&lt;=Inputs!$B$21,"Construction",IF(A30&lt;=Inputs!$B$21+Inputs!$B$5,"Queue wait",IF(A30&lt;=Inputs!$B$21+Configurations!$B$15,"Grid ops","—"))))</f>
        <v>Grid ops</v>
      </c>
      <c r="C30" s="4" t="n">
        <f aca="false">IF(A30&lt;=Inputs!$B$21,"",A30-Inputs!$B$21-1)</f>
        <v>22</v>
      </c>
      <c r="D30" s="14" t="n">
        <f aca="false">IF(OR(A30&lt;=Inputs!$B$21,A30&gt;Inputs!$B$21+Configurations!$B$15),0,Configurations!$B$4*Configurations!$B$5*8760*(1-Configurations!$B$6)^C30*Configurations!$B$7*(1-Configurations!$B$8))</f>
        <v>206146.168747775</v>
      </c>
      <c r="E30" s="13" t="n">
        <f aca="false">IF(OR(A30&lt;=Inputs!$B$21,A30&gt;Inputs!$B$21+Configurations!$B$15),0,IF(A30&lt;=Inputs!$B$21+Inputs!$B$5,0,D30*Inputs!$B$18/1000000))</f>
        <v>14.8425241498398</v>
      </c>
      <c r="F30" s="13" t="n">
        <f aca="false">IF(OR(A30&lt;=Inputs!$B$21,A30&gt;Inputs!$B$21+Configurations!$B$15),0,IF(A30&lt;=Inputs!$B$21+Inputs!$B$5,Configurations!$B$13,Configurations!$B$12+Configurations!$B$13+Inputs!$B$20*E30))</f>
        <v>4.3106378622476</v>
      </c>
      <c r="G30" s="13" t="n">
        <f aca="false">E30-F30</f>
        <v>10.5318862875922</v>
      </c>
      <c r="H30" s="21" t="n">
        <f aca="false">IF(AND(A30&gt;Inputs!$B$21,A30&lt;=Inputs!$B$21+Inputs!$B$12),Capitalization!B$12,0)</f>
        <v>0</v>
      </c>
      <c r="I30" s="13" t="n">
        <f aca="false">G30-H30</f>
        <v>10.5318862875922</v>
      </c>
      <c r="J30" s="22" t="n">
        <f aca="false">IF(A30&lt;=Inputs!$B$21,"",IF(AND(A30&lt;=Inputs!$B$22,Capitalization!B$18&gt;0),Inputs!$B$25,Inputs!$B$26))</f>
        <v>0.975</v>
      </c>
      <c r="K30" s="13" t="n">
        <f aca="false">IF(A30=0,-Capitalization!B$19,IF(A30&lt;=Inputs!$B$21,0,I30*J30-IF(AND(A30=Inputs!$B$22,Capitalization!B$18&gt;0),Inputs!$B$23,0)))</f>
        <v>10.2685891304024</v>
      </c>
      <c r="L30" s="23" t="str">
        <f aca="false">IF(H30&gt;0,G30/H30,"")</f>
        <v/>
      </c>
      <c r="M30" s="13" t="n">
        <f aca="false">IF(A30=0,-Capitalization!B$4,IF(A30&lt;=Inputs!$B$21,0,G30))</f>
        <v>10.5318862875922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IF(A31=0,"Equity",IF(A31&lt;=Inputs!$B$21,"Construction",IF(A31&lt;=Inputs!$B$21+Inputs!$B$5,"Queue wait",IF(A31&lt;=Inputs!$B$21+Configurations!$B$15,"Grid ops","—"))))</f>
        <v>Grid ops</v>
      </c>
      <c r="C31" s="4" t="n">
        <f aca="false">IF(A31&lt;=Inputs!$B$21,"",A31-Inputs!$B$21-1)</f>
        <v>23</v>
      </c>
      <c r="D31" s="14" t="n">
        <f aca="false">IF(OR(A31&lt;=Inputs!$B$21,A31&gt;Inputs!$B$21+Configurations!$B$15),0,Configurations!$B$4*Configurations!$B$5*8760*(1-Configurations!$B$6)^C31*Configurations!$B$7*(1-Configurations!$B$8))</f>
        <v>205115.437904036</v>
      </c>
      <c r="E31" s="13" t="n">
        <f aca="false">IF(OR(A31&lt;=Inputs!$B$21,A31&gt;Inputs!$B$21+Configurations!$B$15),0,IF(A31&lt;=Inputs!$B$21+Inputs!$B$5,0,D31*Inputs!$B$18/1000000))</f>
        <v>14.7683115290906</v>
      </c>
      <c r="F31" s="13" t="n">
        <f aca="false">IF(OR(A31&lt;=Inputs!$B$21,A31&gt;Inputs!$B$21+Configurations!$B$15),0,IF(A31&lt;=Inputs!$B$21+Inputs!$B$5,Configurations!$B$13,Configurations!$B$12+Configurations!$B$13+Inputs!$B$20*E31))</f>
        <v>4.30952467293636</v>
      </c>
      <c r="G31" s="13" t="n">
        <f aca="false">E31-F31</f>
        <v>10.4587868561542</v>
      </c>
      <c r="H31" s="21" t="n">
        <f aca="false">IF(AND(A31&gt;Inputs!$B$21,A31&lt;=Inputs!$B$21+Inputs!$B$12),Capitalization!B$12,0)</f>
        <v>0</v>
      </c>
      <c r="I31" s="13" t="n">
        <f aca="false">G31-H31</f>
        <v>10.4587868561542</v>
      </c>
      <c r="J31" s="22" t="n">
        <f aca="false">IF(A31&lt;=Inputs!$B$21,"",IF(AND(A31&lt;=Inputs!$B$22,Capitalization!B$18&gt;0),Inputs!$B$25,Inputs!$B$26))</f>
        <v>0.975</v>
      </c>
      <c r="K31" s="13" t="n">
        <f aca="false">IF(A31=0,-Capitalization!B$19,IF(A31&lt;=Inputs!$B$21,0,I31*J31-IF(AND(A31=Inputs!$B$22,Capitalization!B$18&gt;0),Inputs!$B$23,0)))</f>
        <v>10.1973171847504</v>
      </c>
      <c r="L31" s="23" t="str">
        <f aca="false">IF(H31&gt;0,G31/H31,"")</f>
        <v/>
      </c>
      <c r="M31" s="13" t="n">
        <f aca="false">IF(A31=0,-Capitalization!B$4,IF(A31&lt;=Inputs!$B$21,0,G31))</f>
        <v>10.4587868561542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IF(A32=0,"Equity",IF(A32&lt;=Inputs!$B$21,"Construction",IF(A32&lt;=Inputs!$B$21+Inputs!$B$5,"Queue wait",IF(A32&lt;=Inputs!$B$21+Configurations!$B$15,"Grid ops","—"))))</f>
        <v>Grid ops</v>
      </c>
      <c r="C32" s="4" t="n">
        <f aca="false">IF(A32&lt;=Inputs!$B$21,"",A32-Inputs!$B$21-1)</f>
        <v>24</v>
      </c>
      <c r="D32" s="14" t="n">
        <f aca="false">IF(OR(A32&lt;=Inputs!$B$21,A32&gt;Inputs!$B$21+Configurations!$B$15),0,Configurations!$B$4*Configurations!$B$5*8760*(1-Configurations!$B$6)^C32*Configurations!$B$7*(1-Configurations!$B$8))</f>
        <v>204089.860714516</v>
      </c>
      <c r="E32" s="13" t="n">
        <f aca="false">IF(OR(A32&lt;=Inputs!$B$21,A32&gt;Inputs!$B$21+Configurations!$B$15),0,IF(A32&lt;=Inputs!$B$21+Inputs!$B$5,0,D32*Inputs!$B$18/1000000))</f>
        <v>14.6944699714451</v>
      </c>
      <c r="F32" s="13" t="n">
        <f aca="false">IF(OR(A32&lt;=Inputs!$B$21,A32&gt;Inputs!$B$21+Configurations!$B$15),0,IF(A32&lt;=Inputs!$B$21+Inputs!$B$5,Configurations!$B$13,Configurations!$B$12+Configurations!$B$13+Inputs!$B$20*E32))</f>
        <v>4.30841704957168</v>
      </c>
      <c r="G32" s="13" t="n">
        <f aca="false">E32-F32</f>
        <v>10.3860529218734</v>
      </c>
      <c r="H32" s="21" t="n">
        <f aca="false">IF(AND(A32&gt;Inputs!$B$21,A32&lt;=Inputs!$B$21+Inputs!$B$12),Capitalization!B$12,0)</f>
        <v>0</v>
      </c>
      <c r="I32" s="13" t="n">
        <f aca="false">G32-H32</f>
        <v>10.3860529218734</v>
      </c>
      <c r="J32" s="22" t="n">
        <f aca="false">IF(A32&lt;=Inputs!$B$21,"",IF(AND(A32&lt;=Inputs!$B$22,Capitalization!B$18&gt;0),Inputs!$B$25,Inputs!$B$26))</f>
        <v>0.975</v>
      </c>
      <c r="K32" s="13" t="n">
        <f aca="false">IF(A32=0,-Capitalization!B$19,IF(A32&lt;=Inputs!$B$21,0,I32*J32-IF(AND(A32=Inputs!$B$22,Capitalization!B$18&gt;0),Inputs!$B$23,0)))</f>
        <v>10.1264015988266</v>
      </c>
      <c r="L32" s="23" t="str">
        <f aca="false">IF(H32&gt;0,G32/H32,"")</f>
        <v/>
      </c>
      <c r="M32" s="13" t="n">
        <f aca="false">IF(A32=0,-Capitalization!B$4,IF(A32&lt;=Inputs!$B$21,0,G32))</f>
        <v>10.3860529218734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IF(A33=0,"Equity",IF(A33&lt;=Inputs!$B$21,"Construction",IF(A33&lt;=Inputs!$B$21+Inputs!$B$5,"Queue wait",IF(A33&lt;=Inputs!$B$21+Configurations!$B$15,"Grid ops","—"))))</f>
        <v>—</v>
      </c>
      <c r="C33" s="4" t="n">
        <f aca="false">IF(A33&lt;=Inputs!$B$21,"",A33-Inputs!$B$21-1)</f>
        <v>25</v>
      </c>
      <c r="D33" s="14" t="n">
        <f aca="false">IF(OR(A33&lt;=Inputs!$B$21,A33&gt;Inputs!$B$21+Configurations!$B$15),0,Configurations!$B$4*Configurations!$B$5*8760*(1-Configurations!$B$6)^C33*Configurations!$B$7*(1-Configurations!$B$8))</f>
        <v>0</v>
      </c>
      <c r="E33" s="13" t="n">
        <f aca="false">IF(OR(A33&lt;=Inputs!$B$21,A33&gt;Inputs!$B$21+Configurations!$B$15),0,IF(A33&lt;=Inputs!$B$21+Inputs!$B$5,0,D33*Inputs!$B$18/1000000))</f>
        <v>0</v>
      </c>
      <c r="F33" s="13" t="n">
        <f aca="false">IF(OR(A33&lt;=Inputs!$B$21,A33&gt;Inputs!$B$21+Configurations!$B$15),0,IF(A33&lt;=Inputs!$B$21+Inputs!$B$5,Configurations!$B$13,Configurations!$B$12+Configurations!$B$13+Inputs!$B$20*E33))</f>
        <v>0</v>
      </c>
      <c r="G33" s="13" t="n">
        <f aca="false">E33-F33</f>
        <v>0</v>
      </c>
      <c r="H33" s="21" t="n">
        <f aca="false">IF(AND(A33&gt;Inputs!$B$21,A33&lt;=Inputs!$B$21+Inputs!$B$12),Capitalization!B$12,0)</f>
        <v>0</v>
      </c>
      <c r="I33" s="13" t="n">
        <f aca="false">G33-H33</f>
        <v>0</v>
      </c>
      <c r="J33" s="22" t="n">
        <f aca="false">IF(A33&lt;=Inputs!$B$21,"",IF(AND(A33&lt;=Inputs!$B$22,Capitalization!B$18&gt;0),Inputs!$B$25,Inputs!$B$26))</f>
        <v>0.975</v>
      </c>
      <c r="K33" s="13" t="n">
        <f aca="false">IF(A33=0,-Capitalization!B$19,IF(A33&lt;=Inputs!$B$21,0,I33*J33-IF(AND(A33=Inputs!$B$22,Capitalization!B$18&gt;0),Inputs!$B$23,0)))</f>
        <v>0</v>
      </c>
      <c r="L33" s="23" t="str">
        <f aca="false">IF(H33&gt;0,G33/H33,"")</f>
        <v/>
      </c>
      <c r="M33" s="13" t="n">
        <f aca="false">IF(A33=0,-Capitalization!B$4,IF(A33&lt;=Inputs!$B$21,0,G33))</f>
        <v>0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IF(A34=0,"Equity",IF(A34&lt;=Inputs!$B$21,"Construction",IF(A34&lt;=Inputs!$B$21+Inputs!$B$5,"Queue wait",IF(A34&lt;=Inputs!$B$21+Configurations!$B$15,"Grid ops","—"))))</f>
        <v>—</v>
      </c>
      <c r="C34" s="4" t="n">
        <f aca="false">IF(A34&lt;=Inputs!$B$21,"",A34-Inputs!$B$21-1)</f>
        <v>26</v>
      </c>
      <c r="D34" s="14" t="n">
        <f aca="false">IF(OR(A34&lt;=Inputs!$B$21,A34&gt;Inputs!$B$21+Configurations!$B$15),0,Configurations!$B$4*Configurations!$B$5*8760*(1-Configurations!$B$6)^C34*Configurations!$B$7*(1-Configurations!$B$8))</f>
        <v>0</v>
      </c>
      <c r="E34" s="13" t="n">
        <f aca="false">IF(OR(A34&lt;=Inputs!$B$21,A34&gt;Inputs!$B$21+Configurations!$B$15),0,IF(A34&lt;=Inputs!$B$21+Inputs!$B$5,0,D34*Inputs!$B$18/1000000))</f>
        <v>0</v>
      </c>
      <c r="F34" s="13" t="n">
        <f aca="false">IF(OR(A34&lt;=Inputs!$B$21,A34&gt;Inputs!$B$21+Configurations!$B$15),0,IF(A34&lt;=Inputs!$B$21+Inputs!$B$5,Configurations!$B$13,Configurations!$B$12+Configurations!$B$13+Inputs!$B$20*E34))</f>
        <v>0</v>
      </c>
      <c r="G34" s="13" t="n">
        <f aca="false">E34-F34</f>
        <v>0</v>
      </c>
      <c r="H34" s="21" t="n">
        <f aca="false">IF(AND(A34&gt;Inputs!$B$21,A34&lt;=Inputs!$B$21+Inputs!$B$12),Capitalization!B$12,0)</f>
        <v>0</v>
      </c>
      <c r="I34" s="13" t="n">
        <f aca="false">G34-H34</f>
        <v>0</v>
      </c>
      <c r="J34" s="22" t="n">
        <f aca="false">IF(A34&lt;=Inputs!$B$21,"",IF(AND(A34&lt;=Inputs!$B$22,Capitalization!B$18&gt;0),Inputs!$B$25,Inputs!$B$26))</f>
        <v>0.975</v>
      </c>
      <c r="K34" s="13" t="n">
        <f aca="false">IF(A34=0,-Capitalization!B$19,IF(A34&lt;=Inputs!$B$21,0,I34*J34-IF(AND(A34=Inputs!$B$22,Capitalization!B$18&gt;0),Inputs!$B$23,0)))</f>
        <v>0</v>
      </c>
      <c r="L34" s="23" t="str">
        <f aca="false">IF(H34&gt;0,G34/H34,"")</f>
        <v/>
      </c>
      <c r="M34" s="13" t="n">
        <f aca="false">IF(A34=0,-Capitalization!B$4,IF(A34&lt;=Inputs!$B$21,0,G34))</f>
        <v>0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IF(A35=0,"Equity",IF(A35&lt;=Inputs!$B$21,"Construction",IF(A35&lt;=Inputs!$B$21+Inputs!$B$5,"Queue wait",IF(A35&lt;=Inputs!$B$21+Configurations!$B$15,"Grid ops","—"))))</f>
        <v>—</v>
      </c>
      <c r="C35" s="4" t="n">
        <f aca="false">IF(A35&lt;=Inputs!$B$21,"",A35-Inputs!$B$21-1)</f>
        <v>27</v>
      </c>
      <c r="D35" s="14" t="n">
        <f aca="false">IF(OR(A35&lt;=Inputs!$B$21,A35&gt;Inputs!$B$21+Configurations!$B$15),0,Configurations!$B$4*Configurations!$B$5*8760*(1-Configurations!$B$6)^C35*Configurations!$B$7*(1-Configurations!$B$8))</f>
        <v>0</v>
      </c>
      <c r="E35" s="13" t="n">
        <f aca="false">IF(OR(A35&lt;=Inputs!$B$21,A35&gt;Inputs!$B$21+Configurations!$B$15),0,IF(A35&lt;=Inputs!$B$21+Inputs!$B$5,0,D35*Inputs!$B$18/1000000))</f>
        <v>0</v>
      </c>
      <c r="F35" s="13" t="n">
        <f aca="false">IF(OR(A35&lt;=Inputs!$B$21,A35&gt;Inputs!$B$21+Configurations!$B$15),0,IF(A35&lt;=Inputs!$B$21+Inputs!$B$5,Configurations!$B$13,Configurations!$B$12+Configurations!$B$13+Inputs!$B$20*E35))</f>
        <v>0</v>
      </c>
      <c r="G35" s="13" t="n">
        <f aca="false">E35-F35</f>
        <v>0</v>
      </c>
      <c r="H35" s="21" t="n">
        <f aca="false">IF(AND(A35&gt;Inputs!$B$21,A35&lt;=Inputs!$B$21+Inputs!$B$12),Capitalization!B$12,0)</f>
        <v>0</v>
      </c>
      <c r="I35" s="13" t="n">
        <f aca="false">G35-H35</f>
        <v>0</v>
      </c>
      <c r="J35" s="22" t="n">
        <f aca="false">IF(A35&lt;=Inputs!$B$21,"",IF(AND(A35&lt;=Inputs!$B$22,Capitalization!B$18&gt;0),Inputs!$B$25,Inputs!$B$26))</f>
        <v>0.975</v>
      </c>
      <c r="K35" s="13" t="n">
        <f aca="false">IF(A35=0,-Capitalization!B$19,IF(A35&lt;=Inputs!$B$21,0,I35*J35-IF(AND(A35=Inputs!$B$22,Capitalization!B$18&gt;0),Inputs!$B$23,0)))</f>
        <v>0</v>
      </c>
      <c r="L35" s="23" t="str">
        <f aca="false">IF(H35&gt;0,G35/H35,"")</f>
        <v/>
      </c>
      <c r="M35" s="13" t="n">
        <f aca="false">IF(A35=0,-Capitalization!B$4,IF(A35&lt;=Inputs!$B$21,0,G35))</f>
        <v>0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IF(A36=0,"Equity",IF(A36&lt;=Inputs!$B$21,"Construction",IF(A36&lt;=Inputs!$B$21+Inputs!$B$5,"Queue wait",IF(A36&lt;=Inputs!$B$21+Configurations!$B$15,"Grid ops","—"))))</f>
        <v>—</v>
      </c>
      <c r="C36" s="4" t="n">
        <f aca="false">IF(A36&lt;=Inputs!$B$21,"",A36-Inputs!$B$21-1)</f>
        <v>28</v>
      </c>
      <c r="D36" s="14" t="n">
        <f aca="false">IF(OR(A36&lt;=Inputs!$B$21,A36&gt;Inputs!$B$21+Configurations!$B$15),0,Configurations!$B$4*Configurations!$B$5*8760*(1-Configurations!$B$6)^C36*Configurations!$B$7*(1-Configurations!$B$8))</f>
        <v>0</v>
      </c>
      <c r="E36" s="13" t="n">
        <f aca="false">IF(OR(A36&lt;=Inputs!$B$21,A36&gt;Inputs!$B$21+Configurations!$B$15),0,IF(A36&lt;=Inputs!$B$21+Inputs!$B$5,0,D36*Inputs!$B$18/1000000))</f>
        <v>0</v>
      </c>
      <c r="F36" s="13" t="n">
        <f aca="false">IF(OR(A36&lt;=Inputs!$B$21,A36&gt;Inputs!$B$21+Configurations!$B$15),0,IF(A36&lt;=Inputs!$B$21+Inputs!$B$5,Configurations!$B$13,Configurations!$B$12+Configurations!$B$13+Inputs!$B$20*E36))</f>
        <v>0</v>
      </c>
      <c r="G36" s="13" t="n">
        <f aca="false">E36-F36</f>
        <v>0</v>
      </c>
      <c r="H36" s="21" t="n">
        <f aca="false">IF(AND(A36&gt;Inputs!$B$21,A36&lt;=Inputs!$B$21+Inputs!$B$12),Capitalization!B$12,0)</f>
        <v>0</v>
      </c>
      <c r="I36" s="13" t="n">
        <f aca="false">G36-H36</f>
        <v>0</v>
      </c>
      <c r="J36" s="22" t="n">
        <f aca="false">IF(A36&lt;=Inputs!$B$21,"",IF(AND(A36&lt;=Inputs!$B$22,Capitalization!B$18&gt;0),Inputs!$B$25,Inputs!$B$26))</f>
        <v>0.975</v>
      </c>
      <c r="K36" s="13" t="n">
        <f aca="false">IF(A36=0,-Capitalization!B$19,IF(A36&lt;=Inputs!$B$21,0,I36*J36-IF(AND(A36=Inputs!$B$22,Capitalization!B$18&gt;0),Inputs!$B$23,0)))</f>
        <v>0</v>
      </c>
      <c r="L36" s="23" t="str">
        <f aca="false">IF(H36&gt;0,G36/H36,"")</f>
        <v/>
      </c>
      <c r="M36" s="13" t="n">
        <f aca="false">IF(A36=0,-Capitalization!B$4,IF(A36&lt;=Inputs!$B$21,0,G36))</f>
        <v>0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IF(A37=0,"Equity",IF(A37&lt;=Inputs!$B$21,"Construction",IF(A37&lt;=Inputs!$B$21+Inputs!$B$5,"Queue wait",IF(A37&lt;=Inputs!$B$21+Configurations!$B$15,"Grid ops","—"))))</f>
        <v>—</v>
      </c>
      <c r="C37" s="4" t="n">
        <f aca="false">IF(A37&lt;=Inputs!$B$21,"",A37-Inputs!$B$21-1)</f>
        <v>29</v>
      </c>
      <c r="D37" s="14" t="n">
        <f aca="false">IF(OR(A37&lt;=Inputs!$B$21,A37&gt;Inputs!$B$21+Configurations!$B$15),0,Configurations!$B$4*Configurations!$B$5*8760*(1-Configurations!$B$6)^C37*Configurations!$B$7*(1-Configurations!$B$8))</f>
        <v>0</v>
      </c>
      <c r="E37" s="13" t="n">
        <f aca="false">IF(OR(A37&lt;=Inputs!$B$21,A37&gt;Inputs!$B$21+Configurations!$B$15),0,IF(A37&lt;=Inputs!$B$21+Inputs!$B$5,0,D37*Inputs!$B$18/1000000))</f>
        <v>0</v>
      </c>
      <c r="F37" s="13" t="n">
        <f aca="false">IF(OR(A37&lt;=Inputs!$B$21,A37&gt;Inputs!$B$21+Configurations!$B$15),0,IF(A37&lt;=Inputs!$B$21+Inputs!$B$5,Configurations!$B$13,Configurations!$B$12+Configurations!$B$13+Inputs!$B$20*E37))</f>
        <v>0</v>
      </c>
      <c r="G37" s="13" t="n">
        <f aca="false">E37-F37</f>
        <v>0</v>
      </c>
      <c r="H37" s="21" t="n">
        <f aca="false">IF(AND(A37&gt;Inputs!$B$21,A37&lt;=Inputs!$B$21+Inputs!$B$12),Capitalization!B$12,0)</f>
        <v>0</v>
      </c>
      <c r="I37" s="13" t="n">
        <f aca="false">G37-H37</f>
        <v>0</v>
      </c>
      <c r="J37" s="22" t="n">
        <f aca="false">IF(A37&lt;=Inputs!$B$21,"",IF(AND(A37&lt;=Inputs!$B$22,Capitalization!B$18&gt;0),Inputs!$B$25,Inputs!$B$26))</f>
        <v>0.975</v>
      </c>
      <c r="K37" s="13" t="n">
        <f aca="false">IF(A37=0,-Capitalization!B$19,IF(A37&lt;=Inputs!$B$21,0,I37*J37-IF(AND(A37=Inputs!$B$22,Capitalization!B$18&gt;0),Inputs!$B$23,0)))</f>
        <v>0</v>
      </c>
      <c r="L37" s="23" t="str">
        <f aca="false">IF(H37&gt;0,G37/H37,"")</f>
        <v/>
      </c>
      <c r="M37" s="13" t="n">
        <f aca="false">IF(A37=0,-Capitalization!B$4,IF(A37&lt;=Inputs!$B$21,0,G37))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15" t="s">
        <v>110</v>
      </c>
      <c r="B2" s="17" t="n">
        <f aca="false">IRR(K5:K37)</f>
        <v>0.0440705771664944</v>
      </c>
      <c r="C2" s="15" t="s">
        <v>111</v>
      </c>
      <c r="D2" s="18" t="n">
        <f aca="false">IRR(M5:M37)</f>
        <v>0.0128219566109675</v>
      </c>
      <c r="E2" s="15" t="s">
        <v>112</v>
      </c>
      <c r="F2" s="19" t="n">
        <f aca="false">K5+NPV(Inputs!$B$24,K6:K37)</f>
        <v>-15.3972495337083</v>
      </c>
    </row>
    <row r="4" customFormat="false" ht="26.85" hidden="false" customHeight="false" outlineLevel="0" collapsed="false">
      <c r="A4" s="20" t="s">
        <v>113</v>
      </c>
      <c r="B4" s="20" t="s">
        <v>114</v>
      </c>
      <c r="C4" s="20" t="s">
        <v>115</v>
      </c>
      <c r="D4" s="20" t="s">
        <v>116</v>
      </c>
      <c r="E4" s="20" t="s">
        <v>117</v>
      </c>
      <c r="F4" s="20" t="s">
        <v>118</v>
      </c>
      <c r="G4" s="20" t="s">
        <v>119</v>
      </c>
      <c r="H4" s="20" t="s">
        <v>120</v>
      </c>
      <c r="I4" s="20" t="s">
        <v>121</v>
      </c>
      <c r="J4" s="20" t="s">
        <v>122</v>
      </c>
      <c r="K4" s="20" t="s">
        <v>123</v>
      </c>
      <c r="L4" s="20" t="s">
        <v>124</v>
      </c>
      <c r="M4" s="20" t="s">
        <v>125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IF(A5=0,"Equity",IF(A5&lt;=Inputs!$B$21,"Construction",IF(A5&lt;=Inputs!$B$21+Inputs!$B$5,"Queue wait",IF(A5&lt;=Inputs!$B$21+Configurations!$B$15,"Grid ops","—"))))</f>
        <v>Equity</v>
      </c>
      <c r="C5" s="4" t="str">
        <f aca="false">IF(A5&lt;=Inputs!$B$21,"",A5-Inputs!$B$21-1)</f>
        <v/>
      </c>
      <c r="D5" s="14" t="n">
        <f aca="false">IF(OR(A5&lt;=Inputs!$B$21,A5&gt;Inputs!$B$21+Configurations!$B$15),0,Configurations!$B$4*Configurations!$B$5*8760*(1-Configurations!$B$6)^C5*Configurations!$B$7*(1-Configurations!$B$8))</f>
        <v>0</v>
      </c>
      <c r="E5" s="13" t="n">
        <f aca="false">IF(OR(A5&lt;=Inputs!$B$21,A5&gt;Inputs!$B$21+Configurations!$B$15),0,IF(A5&lt;=Inputs!$B$21+Inputs!$B$5,D5*(1-Inputs!$B$10)*Inputs!$B$19/1000000,D5*Inputs!$B$18/1000000))</f>
        <v>0</v>
      </c>
      <c r="F5" s="13" t="n">
        <f aca="false">IF(OR(A5&lt;=Inputs!$B$21,A5&gt;Inputs!$B$21+Configurations!$B$15),0,Configurations!$B$12+Configurations!$B$13+Configurations!$B$14+Inputs!$B$20*E5)</f>
        <v>0</v>
      </c>
      <c r="G5" s="13" t="n">
        <f aca="false">E5-F5</f>
        <v>0</v>
      </c>
      <c r="H5" s="21" t="n">
        <f aca="false">IF(AND(A5&gt;Inputs!$B$21,A5&lt;=Inputs!$B$21+Inputs!$B$12),Capitalization!C$12,0)</f>
        <v>0</v>
      </c>
      <c r="I5" s="13" t="n">
        <f aca="false">G5-H5</f>
        <v>0</v>
      </c>
      <c r="J5" s="22" t="str">
        <f aca="false">IF(A5&lt;=Inputs!$B$21,"",IF(AND(A5&lt;=Inputs!$B$22,Capitalization!C$18&gt;0),Inputs!$B$25,Inputs!$B$26))</f>
        <v/>
      </c>
      <c r="K5" s="13" t="n">
        <f aca="false">IF(A5=0,-Capitalization!C$19,IF(A5&lt;=Inputs!$B$21,0,I5*J5-IF(AND(A5=Inputs!$B$22,Capitalization!C$18&gt;0),Inputs!$B$23,0)))</f>
        <v>-33.7495664923093</v>
      </c>
      <c r="L5" s="23" t="str">
        <f aca="false">IF(H5&gt;0,G5/H5,"")</f>
        <v/>
      </c>
      <c r="M5" s="13" t="n">
        <f aca="false">IF(A5=0,-Capitalization!C$4,IF(A5&lt;=Inputs!$B$21,0,G5))</f>
        <v>-209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IF(A6=0,"Equity",IF(A6&lt;=Inputs!$B$21,"Construction",IF(A6&lt;=Inputs!$B$21+Inputs!$B$5,"Queue wait",IF(A6&lt;=Inputs!$B$21+Configurations!$B$15,"Grid ops","—"))))</f>
        <v>Construction</v>
      </c>
      <c r="C6" s="4" t="str">
        <f aca="false">IF(A6&lt;=Inputs!$B$21,"",A6-Inputs!$B$21-1)</f>
        <v/>
      </c>
      <c r="D6" s="14" t="n">
        <f aca="false">IF(OR(A6&lt;=Inputs!$B$21,A6&gt;Inputs!$B$21+Configurations!$B$15),0,Configurations!$B$4*Configurations!$B$5*8760*(1-Configurations!$B$6)^C6*Configurations!$B$7*(1-Configurations!$B$8))</f>
        <v>0</v>
      </c>
      <c r="E6" s="13" t="n">
        <f aca="false">IF(OR(A6&lt;=Inputs!$B$21,A6&gt;Inputs!$B$21+Configurations!$B$15),0,IF(A6&lt;=Inputs!$B$21+Inputs!$B$5,D6*(1-Inputs!$B$10)*Inputs!$B$19/1000000,D6*Inputs!$B$18/1000000))</f>
        <v>0</v>
      </c>
      <c r="F6" s="13" t="n">
        <f aca="false">IF(OR(A6&lt;=Inputs!$B$21,A6&gt;Inputs!$B$21+Configurations!$B$15),0,Configurations!$B$12+Configurations!$B$13+Configurations!$B$14+Inputs!$B$20*E6)</f>
        <v>0</v>
      </c>
      <c r="G6" s="13" t="n">
        <f aca="false">E6-F6</f>
        <v>0</v>
      </c>
      <c r="H6" s="21" t="n">
        <f aca="false">IF(AND(A6&gt;Inputs!$B$21,A6&lt;=Inputs!$B$21+Inputs!$B$12),Capitalization!C$12,0)</f>
        <v>0</v>
      </c>
      <c r="I6" s="13" t="n">
        <f aca="false">G6-H6</f>
        <v>0</v>
      </c>
      <c r="J6" s="22" t="str">
        <f aca="false">IF(A6&lt;=Inputs!$B$21,"",IF(AND(A6&lt;=Inputs!$B$22,Capitalization!C$18&gt;0),Inputs!$B$25,Inputs!$B$26))</f>
        <v/>
      </c>
      <c r="K6" s="13" t="n">
        <f aca="false">IF(A6=0,-Capitalization!C$19,IF(A6&lt;=Inputs!$B$21,0,I6*J6-IF(AND(A6=Inputs!$B$22,Capitalization!C$18&gt;0),Inputs!$B$23,0)))</f>
        <v>0</v>
      </c>
      <c r="L6" s="23" t="str">
        <f aca="false">IF(H6&gt;0,G6/H6,"")</f>
        <v/>
      </c>
      <c r="M6" s="13" t="n">
        <f aca="false">IF(A6=0,-Capitalization!C$4,IF(A6&lt;=Inputs!$B$21,0,G6))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IF(A7=0,"Equity",IF(A7&lt;=Inputs!$B$21,"Construction",IF(A7&lt;=Inputs!$B$21+Inputs!$B$5,"Queue wait",IF(A7&lt;=Inputs!$B$21+Configurations!$B$15,"Grid ops","—"))))</f>
        <v>Construction</v>
      </c>
      <c r="C7" s="4" t="str">
        <f aca="false">IF(A7&lt;=Inputs!$B$21,"",A7-Inputs!$B$21-1)</f>
        <v/>
      </c>
      <c r="D7" s="14" t="n">
        <f aca="false">IF(OR(A7&lt;=Inputs!$B$21,A7&gt;Inputs!$B$21+Configurations!$B$15),0,Configurations!$B$4*Configurations!$B$5*8760*(1-Configurations!$B$6)^C7*Configurations!$B$7*(1-Configurations!$B$8))</f>
        <v>0</v>
      </c>
      <c r="E7" s="13" t="n">
        <f aca="false">IF(OR(A7&lt;=Inputs!$B$21,A7&gt;Inputs!$B$21+Configurations!$B$15),0,IF(A7&lt;=Inputs!$B$21+Inputs!$B$5,D7*(1-Inputs!$B$10)*Inputs!$B$19/1000000,D7*Inputs!$B$18/1000000))</f>
        <v>0</v>
      </c>
      <c r="F7" s="13" t="n">
        <f aca="false">IF(OR(A7&lt;=Inputs!$B$21,A7&gt;Inputs!$B$21+Configurations!$B$15),0,Configurations!$B$12+Configurations!$B$13+Configurations!$B$14+Inputs!$B$20*E7)</f>
        <v>0</v>
      </c>
      <c r="G7" s="13" t="n">
        <f aca="false">E7-F7</f>
        <v>0</v>
      </c>
      <c r="H7" s="21" t="n">
        <f aca="false">IF(AND(A7&gt;Inputs!$B$21,A7&lt;=Inputs!$B$21+Inputs!$B$12),Capitalization!C$12,0)</f>
        <v>0</v>
      </c>
      <c r="I7" s="13" t="n">
        <f aca="false">G7-H7</f>
        <v>0</v>
      </c>
      <c r="J7" s="22" t="str">
        <f aca="false">IF(A7&lt;=Inputs!$B$21,"",IF(AND(A7&lt;=Inputs!$B$22,Capitalization!C$18&gt;0),Inputs!$B$25,Inputs!$B$26))</f>
        <v/>
      </c>
      <c r="K7" s="13" t="n">
        <f aca="false">IF(A7=0,-Capitalization!C$19,IF(A7&lt;=Inputs!$B$21,0,I7*J7-IF(AND(A7=Inputs!$B$22,Capitalization!C$18&gt;0),Inputs!$B$23,0)))</f>
        <v>0</v>
      </c>
      <c r="L7" s="23" t="str">
        <f aca="false">IF(H7&gt;0,G7/H7,"")</f>
        <v/>
      </c>
      <c r="M7" s="13" t="n">
        <f aca="false">IF(A7=0,-Capitalization!C$4,IF(A7&lt;=Inputs!$B$21,0,G7))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IF(A8=0,"Equity",IF(A8&lt;=Inputs!$B$21,"Construction",IF(A8&lt;=Inputs!$B$21+Inputs!$B$5,"Queue wait",IF(A8&lt;=Inputs!$B$21+Configurations!$B$15,"Grid ops","—"))))</f>
        <v>Queue wait</v>
      </c>
      <c r="C8" s="4" t="n">
        <f aca="false">IF(A8&lt;=Inputs!$B$21,"",A8-Inputs!$B$21-1)</f>
        <v>0</v>
      </c>
      <c r="D8" s="14" t="n">
        <f aca="false">IF(OR(A8&lt;=Inputs!$B$21,A8&gt;Inputs!$B$21+Configurations!$B$15),0,Configurations!$B$4*Configurations!$B$5*8760*(1-Configurations!$B$6)^C8*Configurations!$B$7*(1-Configurations!$B$8))</f>
        <v>230179.95</v>
      </c>
      <c r="E8" s="13" t="n">
        <f aca="false">IF(OR(A8&lt;=Inputs!$B$21,A8&gt;Inputs!$B$21+Configurations!$B$15),0,IF(A8&lt;=Inputs!$B$21+Inputs!$B$5,D8*(1-Inputs!$B$10)*Inputs!$B$19/1000000,D8*Inputs!$B$18/1000000))</f>
        <v>13.67268903</v>
      </c>
      <c r="F8" s="13" t="n">
        <f aca="false">IF(OR(A8&lt;=Inputs!$B$21,A8&gt;Inputs!$B$21+Configurations!$B$15),0,Configurations!$B$12+Configurations!$B$13+Configurations!$B$14+Inputs!$B$20*E8)</f>
        <v>5.04309033545</v>
      </c>
      <c r="G8" s="13" t="n">
        <f aca="false">E8-F8</f>
        <v>8.62959869455</v>
      </c>
      <c r="H8" s="21" t="n">
        <f aca="false">IF(AND(A8&gt;Inputs!$B$21,A8&lt;=Inputs!$B$21+Inputs!$B$12),Capitalization!C$12,0)</f>
        <v>8.50841633629629</v>
      </c>
      <c r="I8" s="13" t="n">
        <f aca="false">G8-H8</f>
        <v>0.121182358253707</v>
      </c>
      <c r="J8" s="22" t="n">
        <f aca="false">IF(A8&lt;=Inputs!$B$21,"",IF(AND(A8&lt;=Inputs!$B$22,Capitalization!C$18&gt;0),Inputs!$B$25,Inputs!$B$26))</f>
        <v>0.7</v>
      </c>
      <c r="K8" s="13" t="n">
        <f aca="false">IF(A8=0,-Capitalization!C$19,IF(A8&lt;=Inputs!$B$21,0,I8*J8-IF(AND(A8=Inputs!$B$22,Capitalization!C$18&gt;0),Inputs!$B$23,0)))</f>
        <v>0.0848276507775948</v>
      </c>
      <c r="L8" s="23" t="n">
        <f aca="false">IF(H8&gt;0,G8/H8,"")</f>
        <v>1.01424264557163</v>
      </c>
      <c r="M8" s="13" t="n">
        <f aca="false">IF(A8=0,-Capitalization!C$4,IF(A8&lt;=Inputs!$B$21,0,G8))</f>
        <v>8.62959869455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IF(A9=0,"Equity",IF(A9&lt;=Inputs!$B$21,"Construction",IF(A9&lt;=Inputs!$B$21+Inputs!$B$5,"Queue wait",IF(A9&lt;=Inputs!$B$21+Configurations!$B$15,"Grid ops","—"))))</f>
        <v>Queue wait</v>
      </c>
      <c r="C9" s="4" t="n">
        <f aca="false">IF(A9&lt;=Inputs!$B$21,"",A9-Inputs!$B$21-1)</f>
        <v>1</v>
      </c>
      <c r="D9" s="14" t="n">
        <f aca="false">IF(OR(A9&lt;=Inputs!$B$21,A9&gt;Inputs!$B$21+Configurations!$B$15),0,Configurations!$B$4*Configurations!$B$5*8760*(1-Configurations!$B$6)^C9*Configurations!$B$7*(1-Configurations!$B$8))</f>
        <v>229029.05025</v>
      </c>
      <c r="E9" s="13" t="n">
        <f aca="false">IF(OR(A9&lt;=Inputs!$B$21,A9&gt;Inputs!$B$21+Configurations!$B$15),0,IF(A9&lt;=Inputs!$B$21+Inputs!$B$5,D9*(1-Inputs!$B$10)*Inputs!$B$19/1000000,D9*Inputs!$B$18/1000000))</f>
        <v>13.60432558485</v>
      </c>
      <c r="F9" s="13" t="n">
        <f aca="false">IF(OR(A9&lt;=Inputs!$B$21,A9&gt;Inputs!$B$21+Configurations!$B$15),0,Configurations!$B$12+Configurations!$B$13+Configurations!$B$14+Inputs!$B$20*E9)</f>
        <v>5.04206488377275</v>
      </c>
      <c r="G9" s="13" t="n">
        <f aca="false">E9-F9</f>
        <v>8.56226070107725</v>
      </c>
      <c r="H9" s="21" t="n">
        <f aca="false">IF(AND(A9&gt;Inputs!$B$21,A9&lt;=Inputs!$B$21+Inputs!$B$12),Capitalization!C$12,0)</f>
        <v>8.50841633629629</v>
      </c>
      <c r="I9" s="13" t="n">
        <f aca="false">G9-H9</f>
        <v>0.053844364780959</v>
      </c>
      <c r="J9" s="22" t="n">
        <f aca="false">IF(A9&lt;=Inputs!$B$21,"",IF(AND(A9&lt;=Inputs!$B$22,Capitalization!C$18&gt;0),Inputs!$B$25,Inputs!$B$26))</f>
        <v>0.7</v>
      </c>
      <c r="K9" s="13" t="n">
        <f aca="false">IF(A9=0,-Capitalization!C$19,IF(A9&lt;=Inputs!$B$21,0,I9*J9-IF(AND(A9=Inputs!$B$22,Capitalization!C$18&gt;0),Inputs!$B$23,0)))</f>
        <v>0.0376910553466713</v>
      </c>
      <c r="L9" s="23" t="n">
        <f aca="false">IF(H9&gt;0,G9/H9,"")</f>
        <v>1.00632836507439</v>
      </c>
      <c r="M9" s="13" t="n">
        <f aca="false">IF(A9=0,-Capitalization!C$4,IF(A9&lt;=Inputs!$B$21,0,G9))</f>
        <v>8.56226070107725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IF(A10=0,"Equity",IF(A10&lt;=Inputs!$B$21,"Construction",IF(A10&lt;=Inputs!$B$21+Inputs!$B$5,"Queue wait",IF(A10&lt;=Inputs!$B$21+Configurations!$B$15,"Grid ops","—"))))</f>
        <v>Queue wait</v>
      </c>
      <c r="C10" s="4" t="n">
        <f aca="false">IF(A10&lt;=Inputs!$B$21,"",A10-Inputs!$B$21-1)</f>
        <v>2</v>
      </c>
      <c r="D10" s="14" t="n">
        <f aca="false">IF(OR(A10&lt;=Inputs!$B$21,A10&gt;Inputs!$B$21+Configurations!$B$15),0,Configurations!$B$4*Configurations!$B$5*8760*(1-Configurations!$B$6)^C10*Configurations!$B$7*(1-Configurations!$B$8))</f>
        <v>227883.90499875</v>
      </c>
      <c r="E10" s="13" t="n">
        <f aca="false">IF(OR(A10&lt;=Inputs!$B$21,A10&gt;Inputs!$B$21+Configurations!$B$15),0,IF(A10&lt;=Inputs!$B$21+Inputs!$B$5,D10*(1-Inputs!$B$10)*Inputs!$B$19/1000000,D10*Inputs!$B$18/1000000))</f>
        <v>13.5363039569258</v>
      </c>
      <c r="F10" s="13" t="n">
        <f aca="false">IF(OR(A10&lt;=Inputs!$B$21,A10&gt;Inputs!$B$21+Configurations!$B$15),0,Configurations!$B$12+Configurations!$B$13+Configurations!$B$14+Inputs!$B$20*E10)</f>
        <v>5.04104455935389</v>
      </c>
      <c r="G10" s="13" t="n">
        <f aca="false">E10-F10</f>
        <v>8.49525939757187</v>
      </c>
      <c r="H10" s="21" t="n">
        <f aca="false">IF(AND(A10&gt;Inputs!$B$21,A10&lt;=Inputs!$B$21+Inputs!$B$12),Capitalization!C$12,0)</f>
        <v>8.50841633629629</v>
      </c>
      <c r="I10" s="13" t="n">
        <f aca="false">G10-H10</f>
        <v>-0.0131569387244266</v>
      </c>
      <c r="J10" s="22" t="n">
        <f aca="false">IF(A10&lt;=Inputs!$B$21,"",IF(AND(A10&lt;=Inputs!$B$22,Capitalization!C$18&gt;0),Inputs!$B$25,Inputs!$B$26))</f>
        <v>0.7</v>
      </c>
      <c r="K10" s="13" t="n">
        <f aca="false">IF(A10=0,-Capitalization!C$19,IF(A10&lt;=Inputs!$B$21,0,I10*J10-IF(AND(A10=Inputs!$B$22,Capitalization!C$18&gt;0),Inputs!$B$23,0)))</f>
        <v>-0.00920985710709861</v>
      </c>
      <c r="L10" s="23" t="n">
        <f aca="false">IF(H10&gt;0,G10/H10,"")</f>
        <v>0.998453655979633</v>
      </c>
      <c r="M10" s="13" t="n">
        <f aca="false">IF(A10=0,-Capitalization!C$4,IF(A10&lt;=Inputs!$B$21,0,G10))</f>
        <v>8.49525939757187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IF(A11=0,"Equity",IF(A11&lt;=Inputs!$B$21,"Construction",IF(A11&lt;=Inputs!$B$21+Inputs!$B$5,"Queue wait",IF(A11&lt;=Inputs!$B$21+Configurations!$B$15,"Grid ops","—"))))</f>
        <v>Queue wait</v>
      </c>
      <c r="C11" s="4" t="n">
        <f aca="false">IF(A11&lt;=Inputs!$B$21,"",A11-Inputs!$B$21-1)</f>
        <v>3</v>
      </c>
      <c r="D11" s="14" t="n">
        <f aca="false">IF(OR(A11&lt;=Inputs!$B$21,A11&gt;Inputs!$B$21+Configurations!$B$15),0,Configurations!$B$4*Configurations!$B$5*8760*(1-Configurations!$B$6)^C11*Configurations!$B$7*(1-Configurations!$B$8))</f>
        <v>226744.485473756</v>
      </c>
      <c r="E11" s="13" t="n">
        <f aca="false">IF(OR(A11&lt;=Inputs!$B$21,A11&gt;Inputs!$B$21+Configurations!$B$15),0,IF(A11&lt;=Inputs!$B$21+Inputs!$B$5,D11*(1-Inputs!$B$10)*Inputs!$B$19/1000000,D11*Inputs!$B$18/1000000))</f>
        <v>13.4686224371411</v>
      </c>
      <c r="F11" s="13" t="n">
        <f aca="false">IF(OR(A11&lt;=Inputs!$B$21,A11&gt;Inputs!$B$21+Configurations!$B$15),0,Configurations!$B$12+Configurations!$B$13+Configurations!$B$14+Inputs!$B$20*E11)</f>
        <v>5.04002933655712</v>
      </c>
      <c r="G11" s="13" t="n">
        <f aca="false">E11-F11</f>
        <v>8.42859310058401</v>
      </c>
      <c r="H11" s="21" t="n">
        <f aca="false">IF(AND(A11&gt;Inputs!$B$21,A11&lt;=Inputs!$B$21+Inputs!$B$12),Capitalization!C$12,0)</f>
        <v>8.50841633629629</v>
      </c>
      <c r="I11" s="13" t="n">
        <f aca="false">G11-H11</f>
        <v>-0.0798232357122881</v>
      </c>
      <c r="J11" s="22" t="n">
        <f aca="false">IF(A11&lt;=Inputs!$B$21,"",IF(AND(A11&lt;=Inputs!$B$22,Capitalization!C$18&gt;0),Inputs!$B$25,Inputs!$B$26))</f>
        <v>0.7</v>
      </c>
      <c r="K11" s="13" t="n">
        <f aca="false">IF(A11=0,-Capitalization!C$19,IF(A11&lt;=Inputs!$B$21,0,I11*J11-IF(AND(A11=Inputs!$B$22,Capitalization!C$18&gt;0),Inputs!$B$23,0)))</f>
        <v>-1.0558762649986</v>
      </c>
      <c r="L11" s="23" t="n">
        <f aca="false">IF(H11&gt;0,G11/H11,"")</f>
        <v>0.990618320430352</v>
      </c>
      <c r="M11" s="13" t="n">
        <f aca="false">IF(A11=0,-Capitalization!C$4,IF(A11&lt;=Inputs!$B$21,0,G11))</f>
        <v>8.42859310058401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IF(A12=0,"Equity",IF(A12&lt;=Inputs!$B$21,"Construction",IF(A12&lt;=Inputs!$B$21+Inputs!$B$5,"Queue wait",IF(A12&lt;=Inputs!$B$21+Configurations!$B$15,"Grid ops","—"))))</f>
        <v>Grid ops</v>
      </c>
      <c r="C12" s="4" t="n">
        <f aca="false">IF(A12&lt;=Inputs!$B$21,"",A12-Inputs!$B$21-1)</f>
        <v>4</v>
      </c>
      <c r="D12" s="14" t="n">
        <f aca="false">IF(OR(A12&lt;=Inputs!$B$21,A12&gt;Inputs!$B$21+Configurations!$B$15),0,Configurations!$B$4*Configurations!$B$5*8760*(1-Configurations!$B$6)^C12*Configurations!$B$7*(1-Configurations!$B$8))</f>
        <v>225610.763046388</v>
      </c>
      <c r="E12" s="13" t="n">
        <f aca="false">IF(OR(A12&lt;=Inputs!$B$21,A12&gt;Inputs!$B$21+Configurations!$B$15),0,IF(A12&lt;=Inputs!$B$21+Inputs!$B$5,D12*(1-Inputs!$B$10)*Inputs!$B$19/1000000,D12*Inputs!$B$18/1000000))</f>
        <v>16.2439749393399</v>
      </c>
      <c r="F12" s="13" t="n">
        <f aca="false">IF(OR(A12&lt;=Inputs!$B$21,A12&gt;Inputs!$B$21+Configurations!$B$15),0,Configurations!$B$12+Configurations!$B$13+Configurations!$B$14+Inputs!$B$20*E12)</f>
        <v>5.0816596240901</v>
      </c>
      <c r="G12" s="13" t="n">
        <f aca="false">E12-F12</f>
        <v>11.1623153152498</v>
      </c>
      <c r="H12" s="21" t="n">
        <f aca="false">IF(AND(A12&gt;Inputs!$B$21,A12&lt;=Inputs!$B$21+Inputs!$B$12),Capitalization!C$12,0)</f>
        <v>8.50841633629629</v>
      </c>
      <c r="I12" s="13" t="n">
        <f aca="false">G12-H12</f>
        <v>2.65389897895351</v>
      </c>
      <c r="J12" s="22" t="n">
        <f aca="false">IF(A12&lt;=Inputs!$B$21,"",IF(AND(A12&lt;=Inputs!$B$22,Capitalization!C$18&gt;0),Inputs!$B$25,Inputs!$B$26))</f>
        <v>0.975</v>
      </c>
      <c r="K12" s="13" t="n">
        <f aca="false">IF(A12=0,-Capitalization!C$19,IF(A12&lt;=Inputs!$B$21,0,I12*J12-IF(AND(A12=Inputs!$B$22,Capitalization!C$18&gt;0),Inputs!$B$23,0)))</f>
        <v>2.58755150447967</v>
      </c>
      <c r="L12" s="23" t="n">
        <f aca="false">IF(H12&gt;0,G12/H12,"")</f>
        <v>1.31191456483296</v>
      </c>
      <c r="M12" s="13" t="n">
        <f aca="false">IF(A12=0,-Capitalization!C$4,IF(A12&lt;=Inputs!$B$21,0,G12))</f>
        <v>11.1623153152498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IF(A13=0,"Equity",IF(A13&lt;=Inputs!$B$21,"Construction",IF(A13&lt;=Inputs!$B$21+Inputs!$B$5,"Queue wait",IF(A13&lt;=Inputs!$B$21+Configurations!$B$15,"Grid ops","—"))))</f>
        <v>Grid ops</v>
      </c>
      <c r="C13" s="4" t="n">
        <f aca="false">IF(A13&lt;=Inputs!$B$21,"",A13-Inputs!$B$21-1)</f>
        <v>5</v>
      </c>
      <c r="D13" s="14" t="n">
        <f aca="false">IF(OR(A13&lt;=Inputs!$B$21,A13&gt;Inputs!$B$21+Configurations!$B$15),0,Configurations!$B$4*Configurations!$B$5*8760*(1-Configurations!$B$6)^C13*Configurations!$B$7*(1-Configurations!$B$8))</f>
        <v>224482.709231156</v>
      </c>
      <c r="E13" s="13" t="n">
        <f aca="false">IF(OR(A13&lt;=Inputs!$B$21,A13&gt;Inputs!$B$21+Configurations!$B$15),0,IF(A13&lt;=Inputs!$B$21+Inputs!$B$5,D13*(1-Inputs!$B$10)*Inputs!$B$19/1000000,D13*Inputs!$B$18/1000000))</f>
        <v>16.1627550646432</v>
      </c>
      <c r="F13" s="13" t="n">
        <f aca="false">IF(OR(A13&lt;=Inputs!$B$21,A13&gt;Inputs!$B$21+Configurations!$B$15),0,Configurations!$B$12+Configurations!$B$13+Configurations!$B$14+Inputs!$B$20*E13)</f>
        <v>5.08044132596965</v>
      </c>
      <c r="G13" s="13" t="n">
        <f aca="false">E13-F13</f>
        <v>11.0823137386736</v>
      </c>
      <c r="H13" s="21" t="n">
        <f aca="false">IF(AND(A13&gt;Inputs!$B$21,A13&lt;=Inputs!$B$21+Inputs!$B$12),Capitalization!C$12,0)</f>
        <v>8.50841633629629</v>
      </c>
      <c r="I13" s="13" t="n">
        <f aca="false">G13-H13</f>
        <v>2.57389740237726</v>
      </c>
      <c r="J13" s="22" t="n">
        <f aca="false">IF(A13&lt;=Inputs!$B$21,"",IF(AND(A13&lt;=Inputs!$B$22,Capitalization!C$18&gt;0),Inputs!$B$25,Inputs!$B$26))</f>
        <v>0.975</v>
      </c>
      <c r="K13" s="13" t="n">
        <f aca="false">IF(A13=0,-Capitalization!C$19,IF(A13&lt;=Inputs!$B$21,0,I13*J13-IF(AND(A13=Inputs!$B$22,Capitalization!C$18&gt;0),Inputs!$B$23,0)))</f>
        <v>2.50954996731783</v>
      </c>
      <c r="L13" s="23" t="n">
        <f aca="false">IF(H13&gt;0,G13/H13,"")</f>
        <v>1.30251192473941</v>
      </c>
      <c r="M13" s="13" t="n">
        <f aca="false">IF(A13=0,-Capitalization!C$4,IF(A13&lt;=Inputs!$B$21,0,G13))</f>
        <v>11.0823137386736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IF(A14=0,"Equity",IF(A14&lt;=Inputs!$B$21,"Construction",IF(A14&lt;=Inputs!$B$21+Inputs!$B$5,"Queue wait",IF(A14&lt;=Inputs!$B$21+Configurations!$B$15,"Grid ops","—"))))</f>
        <v>Grid ops</v>
      </c>
      <c r="C14" s="4" t="n">
        <f aca="false">IF(A14&lt;=Inputs!$B$21,"",A14-Inputs!$B$21-1)</f>
        <v>6</v>
      </c>
      <c r="D14" s="14" t="n">
        <f aca="false">IF(OR(A14&lt;=Inputs!$B$21,A14&gt;Inputs!$B$21+Configurations!$B$15),0,Configurations!$B$4*Configurations!$B$5*8760*(1-Configurations!$B$6)^C14*Configurations!$B$7*(1-Configurations!$B$8))</f>
        <v>223360.295685</v>
      </c>
      <c r="E14" s="13" t="n">
        <f aca="false">IF(OR(A14&lt;=Inputs!$B$21,A14&gt;Inputs!$B$21+Configurations!$B$15),0,IF(A14&lt;=Inputs!$B$21+Inputs!$B$5,D14*(1-Inputs!$B$10)*Inputs!$B$19/1000000,D14*Inputs!$B$18/1000000))</f>
        <v>16.08194128932</v>
      </c>
      <c r="F14" s="13" t="n">
        <f aca="false">IF(OR(A14&lt;=Inputs!$B$21,A14&gt;Inputs!$B$21+Configurations!$B$15),0,Configurations!$B$12+Configurations!$B$13+Configurations!$B$14+Inputs!$B$20*E14)</f>
        <v>5.0792291193398</v>
      </c>
      <c r="G14" s="13" t="n">
        <f aca="false">E14-F14</f>
        <v>11.0027121699802</v>
      </c>
      <c r="H14" s="21" t="n">
        <f aca="false">IF(AND(A14&gt;Inputs!$B$21,A14&lt;=Inputs!$B$21+Inputs!$B$12),Capitalization!C$12,0)</f>
        <v>8.50841633629629</v>
      </c>
      <c r="I14" s="13" t="n">
        <f aca="false">G14-H14</f>
        <v>2.49429583368389</v>
      </c>
      <c r="J14" s="22" t="n">
        <f aca="false">IF(A14&lt;=Inputs!$B$21,"",IF(AND(A14&lt;=Inputs!$B$22,Capitalization!C$18&gt;0),Inputs!$B$25,Inputs!$B$26))</f>
        <v>0.975</v>
      </c>
      <c r="K14" s="13" t="n">
        <f aca="false">IF(A14=0,-Capitalization!C$19,IF(A14&lt;=Inputs!$B$21,0,I14*J14-IF(AND(A14=Inputs!$B$22,Capitalization!C$18&gt;0),Inputs!$B$23,0)))</f>
        <v>2.43193843784179</v>
      </c>
      <c r="L14" s="23" t="n">
        <f aca="false">IF(H14&gt;0,G14/H14,"")</f>
        <v>1.29315629784633</v>
      </c>
      <c r="M14" s="13" t="n">
        <f aca="false">IF(A14=0,-Capitalization!C$4,IF(A14&lt;=Inputs!$B$21,0,G14))</f>
        <v>11.0027121699802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IF(A15=0,"Equity",IF(A15&lt;=Inputs!$B$21,"Construction",IF(A15&lt;=Inputs!$B$21+Inputs!$B$5,"Queue wait",IF(A15&lt;=Inputs!$B$21+Configurations!$B$15,"Grid ops","—"))))</f>
        <v>Grid ops</v>
      </c>
      <c r="C15" s="4" t="n">
        <f aca="false">IF(A15&lt;=Inputs!$B$21,"",A15-Inputs!$B$21-1)</f>
        <v>7</v>
      </c>
      <c r="D15" s="14" t="n">
        <f aca="false">IF(OR(A15&lt;=Inputs!$B$21,A15&gt;Inputs!$B$21+Configurations!$B$15),0,Configurations!$B$4*Configurations!$B$5*8760*(1-Configurations!$B$6)^C15*Configurations!$B$7*(1-Configurations!$B$8))</f>
        <v>222243.494206575</v>
      </c>
      <c r="E15" s="13" t="n">
        <f aca="false">IF(OR(A15&lt;=Inputs!$B$21,A15&gt;Inputs!$B$21+Configurations!$B$15),0,IF(A15&lt;=Inputs!$B$21+Inputs!$B$5,D15*(1-Inputs!$B$10)*Inputs!$B$19/1000000,D15*Inputs!$B$18/1000000))</f>
        <v>16.0015315828734</v>
      </c>
      <c r="F15" s="13" t="n">
        <f aca="false">IF(OR(A15&lt;=Inputs!$B$21,A15&gt;Inputs!$B$21+Configurations!$B$15),0,Configurations!$B$12+Configurations!$B$13+Configurations!$B$14+Inputs!$B$20*E15)</f>
        <v>5.0780229737431</v>
      </c>
      <c r="G15" s="13" t="n">
        <f aca="false">E15-F15</f>
        <v>10.9235086091303</v>
      </c>
      <c r="H15" s="21" t="n">
        <f aca="false">IF(AND(A15&gt;Inputs!$B$21,A15&lt;=Inputs!$B$21+Inputs!$B$12),Capitalization!C$12,0)</f>
        <v>8.50841633629629</v>
      </c>
      <c r="I15" s="13" t="n">
        <f aca="false">G15-H15</f>
        <v>2.41509227283399</v>
      </c>
      <c r="J15" s="22" t="n">
        <f aca="false">IF(A15&lt;=Inputs!$B$21,"",IF(AND(A15&lt;=Inputs!$B$22,Capitalization!C$18&gt;0),Inputs!$B$25,Inputs!$B$26))</f>
        <v>0.975</v>
      </c>
      <c r="K15" s="13" t="n">
        <f aca="false">IF(A15=0,-Capitalization!C$19,IF(A15&lt;=Inputs!$B$21,0,I15*J15-IF(AND(A15=Inputs!$B$22,Capitalization!C$18&gt;0),Inputs!$B$23,0)))</f>
        <v>2.35471496601314</v>
      </c>
      <c r="L15" s="23" t="n">
        <f aca="false">IF(H15&gt;0,G15/H15,"")</f>
        <v>1.28384744908772</v>
      </c>
      <c r="M15" s="13" t="n">
        <f aca="false">IF(A15=0,-Capitalization!C$4,IF(A15&lt;=Inputs!$B$21,0,G15))</f>
        <v>10.9235086091303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IF(A16=0,"Equity",IF(A16&lt;=Inputs!$B$21,"Construction",IF(A16&lt;=Inputs!$B$21+Inputs!$B$5,"Queue wait",IF(A16&lt;=Inputs!$B$21+Configurations!$B$15,"Grid ops","—"))))</f>
        <v>Grid ops</v>
      </c>
      <c r="C16" s="4" t="n">
        <f aca="false">IF(A16&lt;=Inputs!$B$21,"",A16-Inputs!$B$21-1)</f>
        <v>8</v>
      </c>
      <c r="D16" s="14" t="n">
        <f aca="false">IF(OR(A16&lt;=Inputs!$B$21,A16&gt;Inputs!$B$21+Configurations!$B$15),0,Configurations!$B$4*Configurations!$B$5*8760*(1-Configurations!$B$6)^C16*Configurations!$B$7*(1-Configurations!$B$8))</f>
        <v>221132.276735542</v>
      </c>
      <c r="E16" s="13" t="n">
        <f aca="false">IF(OR(A16&lt;=Inputs!$B$21,A16&gt;Inputs!$B$21+Configurations!$B$15),0,IF(A16&lt;=Inputs!$B$21+Inputs!$B$5,D16*(1-Inputs!$B$10)*Inputs!$B$19/1000000,D16*Inputs!$B$18/1000000))</f>
        <v>15.921523924959</v>
      </c>
      <c r="F16" s="13" t="n">
        <f aca="false">IF(OR(A16&lt;=Inputs!$B$21,A16&gt;Inputs!$B$21+Configurations!$B$15),0,Configurations!$B$12+Configurations!$B$13+Configurations!$B$14+Inputs!$B$20*E16)</f>
        <v>5.07682285887439</v>
      </c>
      <c r="G16" s="13" t="n">
        <f aca="false">E16-F16</f>
        <v>10.8447010660846</v>
      </c>
      <c r="H16" s="21" t="n">
        <f aca="false">IF(AND(A16&gt;Inputs!$B$21,A16&lt;=Inputs!$B$21+Inputs!$B$12),Capitalization!C$12,0)</f>
        <v>8.50841633629629</v>
      </c>
      <c r="I16" s="13" t="n">
        <f aca="false">G16-H16</f>
        <v>2.33628472978834</v>
      </c>
      <c r="J16" s="22" t="n">
        <f aca="false">IF(A16&lt;=Inputs!$B$21,"",IF(AND(A16&lt;=Inputs!$B$22,Capitalization!C$18&gt;0),Inputs!$B$25,Inputs!$B$26))</f>
        <v>0.975</v>
      </c>
      <c r="K16" s="13" t="n">
        <f aca="false">IF(A16=0,-Capitalization!C$19,IF(A16&lt;=Inputs!$B$21,0,I16*J16-IF(AND(A16=Inputs!$B$22,Capitalization!C$18&gt;0),Inputs!$B$23,0)))</f>
        <v>2.27787761154363</v>
      </c>
      <c r="L16" s="23" t="n">
        <f aca="false">IF(H16&gt;0,G16/H16,"")</f>
        <v>1.2745851445729</v>
      </c>
      <c r="M16" s="13" t="n">
        <f aca="false">IF(A16=0,-Capitalization!C$4,IF(A16&lt;=Inputs!$B$21,0,G16))</f>
        <v>10.8447010660846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IF(A17=0,"Equity",IF(A17&lt;=Inputs!$B$21,"Construction",IF(A17&lt;=Inputs!$B$21+Inputs!$B$5,"Queue wait",IF(A17&lt;=Inputs!$B$21+Configurations!$B$15,"Grid ops","—"))))</f>
        <v>Grid ops</v>
      </c>
      <c r="C17" s="4" t="n">
        <f aca="false">IF(A17&lt;=Inputs!$B$21,"",A17-Inputs!$B$21-1)</f>
        <v>9</v>
      </c>
      <c r="D17" s="14" t="n">
        <f aca="false">IF(OR(A17&lt;=Inputs!$B$21,A17&gt;Inputs!$B$21+Configurations!$B$15),0,Configurations!$B$4*Configurations!$B$5*8760*(1-Configurations!$B$6)^C17*Configurations!$B$7*(1-Configurations!$B$8))</f>
        <v>220026.615351864</v>
      </c>
      <c r="E17" s="13" t="n">
        <f aca="false">IF(OR(A17&lt;=Inputs!$B$21,A17&gt;Inputs!$B$21+Configurations!$B$15),0,IF(A17&lt;=Inputs!$B$21+Inputs!$B$5,D17*(1-Inputs!$B$10)*Inputs!$B$19/1000000,D17*Inputs!$B$18/1000000))</f>
        <v>15.8419163053342</v>
      </c>
      <c r="F17" s="13" t="n">
        <f aca="false">IF(OR(A17&lt;=Inputs!$B$21,A17&gt;Inputs!$B$21+Configurations!$B$15),0,Configurations!$B$12+Configurations!$B$13+Configurations!$B$14+Inputs!$B$20*E17)</f>
        <v>5.07562874458001</v>
      </c>
      <c r="G17" s="13" t="n">
        <f aca="false">E17-F17</f>
        <v>10.7662875607542</v>
      </c>
      <c r="H17" s="21" t="n">
        <f aca="false">IF(AND(A17&gt;Inputs!$B$21,A17&lt;=Inputs!$B$21+Inputs!$B$12),Capitalization!C$12,0)</f>
        <v>8.50841633629629</v>
      </c>
      <c r="I17" s="13" t="n">
        <f aca="false">G17-H17</f>
        <v>2.25787122445791</v>
      </c>
      <c r="J17" s="22" t="n">
        <f aca="false">IF(A17&lt;=Inputs!$B$21,"",IF(AND(A17&lt;=Inputs!$B$22,Capitalization!C$18&gt;0),Inputs!$B$25,Inputs!$B$26))</f>
        <v>0.975</v>
      </c>
      <c r="K17" s="13" t="n">
        <f aca="false">IF(A17=0,-Capitalization!C$19,IF(A17&lt;=Inputs!$B$21,0,I17*J17-IF(AND(A17=Inputs!$B$22,Capitalization!C$18&gt;0),Inputs!$B$23,0)))</f>
        <v>2.20142444384646</v>
      </c>
      <c r="L17" s="23" t="n">
        <f aca="false">IF(H17&gt;0,G17/H17,"")</f>
        <v>1.26536915158065</v>
      </c>
      <c r="M17" s="13" t="n">
        <f aca="false">IF(A17=0,-Capitalization!C$4,IF(A17&lt;=Inputs!$B$21,0,G17))</f>
        <v>10.7662875607542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IF(A18=0,"Equity",IF(A18&lt;=Inputs!$B$21,"Construction",IF(A18&lt;=Inputs!$B$21+Inputs!$B$5,"Queue wait",IF(A18&lt;=Inputs!$B$21+Configurations!$B$15,"Grid ops","—"))))</f>
        <v>Grid ops</v>
      </c>
      <c r="C18" s="4" t="n">
        <f aca="false">IF(A18&lt;=Inputs!$B$21,"",A18-Inputs!$B$21-1)</f>
        <v>10</v>
      </c>
      <c r="D18" s="14" t="n">
        <f aca="false">IF(OR(A18&lt;=Inputs!$B$21,A18&gt;Inputs!$B$21+Configurations!$B$15),0,Configurations!$B$4*Configurations!$B$5*8760*(1-Configurations!$B$6)^C18*Configurations!$B$7*(1-Configurations!$B$8))</f>
        <v>218926.482275105</v>
      </c>
      <c r="E18" s="13" t="n">
        <f aca="false">IF(OR(A18&lt;=Inputs!$B$21,A18&gt;Inputs!$B$21+Configurations!$B$15),0,IF(A18&lt;=Inputs!$B$21+Inputs!$B$5,D18*(1-Inputs!$B$10)*Inputs!$B$19/1000000,D18*Inputs!$B$18/1000000))</f>
        <v>15.7627067238076</v>
      </c>
      <c r="F18" s="13" t="n">
        <f aca="false">IF(OR(A18&lt;=Inputs!$B$21,A18&gt;Inputs!$B$21+Configurations!$B$15),0,Configurations!$B$12+Configurations!$B$13+Configurations!$B$14+Inputs!$B$20*E18)</f>
        <v>5.07444060085711</v>
      </c>
      <c r="G18" s="13" t="n">
        <f aca="false">E18-F18</f>
        <v>10.6882661229504</v>
      </c>
      <c r="H18" s="21" t="n">
        <f aca="false">IF(AND(A18&gt;Inputs!$B$21,A18&lt;=Inputs!$B$21+Inputs!$B$12),Capitalization!C$12,0)</f>
        <v>8.50841633629629</v>
      </c>
      <c r="I18" s="13" t="n">
        <f aca="false">G18-H18</f>
        <v>2.17984978665414</v>
      </c>
      <c r="J18" s="22" t="n">
        <f aca="false">IF(A18&lt;=Inputs!$B$21,"",IF(AND(A18&lt;=Inputs!$B$22,Capitalization!C$18&gt;0),Inputs!$B$25,Inputs!$B$26))</f>
        <v>0.975</v>
      </c>
      <c r="K18" s="13" t="n">
        <f aca="false">IF(A18=0,-Capitalization!C$19,IF(A18&lt;=Inputs!$B$21,0,I18*J18-IF(AND(A18=Inputs!$B$22,Capitalization!C$18&gt;0),Inputs!$B$23,0)))</f>
        <v>2.12535354198779</v>
      </c>
      <c r="L18" s="23" t="n">
        <f aca="false">IF(H18&gt;0,G18/H18,"")</f>
        <v>1.25619923855337</v>
      </c>
      <c r="M18" s="13" t="n">
        <f aca="false">IF(A18=0,-Capitalization!C$4,IF(A18&lt;=Inputs!$B$21,0,G18))</f>
        <v>10.6882661229504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IF(A19=0,"Equity",IF(A19&lt;=Inputs!$B$21,"Construction",IF(A19&lt;=Inputs!$B$21+Inputs!$B$5,"Queue wait",IF(A19&lt;=Inputs!$B$21+Configurations!$B$15,"Grid ops","—"))))</f>
        <v>Grid ops</v>
      </c>
      <c r="C19" s="4" t="n">
        <f aca="false">IF(A19&lt;=Inputs!$B$21,"",A19-Inputs!$B$21-1)</f>
        <v>11</v>
      </c>
      <c r="D19" s="14" t="n">
        <f aca="false">IF(OR(A19&lt;=Inputs!$B$21,A19&gt;Inputs!$B$21+Configurations!$B$15),0,Configurations!$B$4*Configurations!$B$5*8760*(1-Configurations!$B$6)^C19*Configurations!$B$7*(1-Configurations!$B$8))</f>
        <v>217831.849863729</v>
      </c>
      <c r="E19" s="13" t="n">
        <f aca="false">IF(OR(A19&lt;=Inputs!$B$21,A19&gt;Inputs!$B$21+Configurations!$B$15),0,IF(A19&lt;=Inputs!$B$21+Inputs!$B$5,D19*(1-Inputs!$B$10)*Inputs!$B$19/1000000,D19*Inputs!$B$18/1000000))</f>
        <v>15.6838931901885</v>
      </c>
      <c r="F19" s="13" t="n">
        <f aca="false">IF(OR(A19&lt;=Inputs!$B$21,A19&gt;Inputs!$B$21+Configurations!$B$15),0,Configurations!$B$12+Configurations!$B$13+Configurations!$B$14+Inputs!$B$20*E19)</f>
        <v>5.07325839785283</v>
      </c>
      <c r="G19" s="13" t="n">
        <f aca="false">E19-F19</f>
        <v>10.6106347923357</v>
      </c>
      <c r="H19" s="21" t="n">
        <f aca="false">IF(AND(A19&gt;Inputs!$B$21,A19&lt;=Inputs!$B$21+Inputs!$B$12),Capitalization!C$12,0)</f>
        <v>8.50841633629629</v>
      </c>
      <c r="I19" s="13" t="n">
        <f aca="false">G19-H19</f>
        <v>2.10221845603939</v>
      </c>
      <c r="J19" s="22" t="n">
        <f aca="false">IF(A19&lt;=Inputs!$B$21,"",IF(AND(A19&lt;=Inputs!$B$22,Capitalization!C$18&gt;0),Inputs!$B$25,Inputs!$B$26))</f>
        <v>0.975</v>
      </c>
      <c r="K19" s="13" t="n">
        <f aca="false">IF(A19=0,-Capitalization!C$19,IF(A19&lt;=Inputs!$B$21,0,I19*J19-IF(AND(A19=Inputs!$B$22,Capitalization!C$18&gt;0),Inputs!$B$23,0)))</f>
        <v>2.04966299463841</v>
      </c>
      <c r="L19" s="23" t="n">
        <f aca="false">IF(H19&gt;0,G19/H19,"")</f>
        <v>1.24707517509122</v>
      </c>
      <c r="M19" s="13" t="n">
        <f aca="false">IF(A19=0,-Capitalization!C$4,IF(A19&lt;=Inputs!$B$21,0,G19))</f>
        <v>10.6106347923357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IF(A20=0,"Equity",IF(A20&lt;=Inputs!$B$21,"Construction",IF(A20&lt;=Inputs!$B$21+Inputs!$B$5,"Queue wait",IF(A20&lt;=Inputs!$B$21+Configurations!$B$15,"Grid ops","—"))))</f>
        <v>Grid ops</v>
      </c>
      <c r="C20" s="4" t="n">
        <f aca="false">IF(A20&lt;=Inputs!$B$21,"",A20-Inputs!$B$21-1)</f>
        <v>12</v>
      </c>
      <c r="D20" s="14" t="n">
        <f aca="false">IF(OR(A20&lt;=Inputs!$B$21,A20&gt;Inputs!$B$21+Configurations!$B$15),0,Configurations!$B$4*Configurations!$B$5*8760*(1-Configurations!$B$6)^C20*Configurations!$B$7*(1-Configurations!$B$8))</f>
        <v>216742.690614411</v>
      </c>
      <c r="E20" s="13" t="n">
        <f aca="false">IF(OR(A20&lt;=Inputs!$B$21,A20&gt;Inputs!$B$21+Configurations!$B$15),0,IF(A20&lt;=Inputs!$B$21+Inputs!$B$5,D20*(1-Inputs!$B$10)*Inputs!$B$19/1000000,D20*Inputs!$B$18/1000000))</f>
        <v>15.6054737242376</v>
      </c>
      <c r="F20" s="13" t="n">
        <f aca="false">IF(OR(A20&lt;=Inputs!$B$21,A20&gt;Inputs!$B$21+Configurations!$B$15),0,Configurations!$B$12+Configurations!$B$13+Configurations!$B$14+Inputs!$B$20*E20)</f>
        <v>5.07208210586356</v>
      </c>
      <c r="G20" s="13" t="n">
        <f aca="false">E20-F20</f>
        <v>10.533391618374</v>
      </c>
      <c r="H20" s="21" t="n">
        <f aca="false">IF(AND(A20&gt;Inputs!$B$21,A20&lt;=Inputs!$B$21+Inputs!$B$12),Capitalization!C$12,0)</f>
        <v>8.50841633629629</v>
      </c>
      <c r="I20" s="13" t="n">
        <f aca="false">G20-H20</f>
        <v>2.02497528207771</v>
      </c>
      <c r="J20" s="22" t="n">
        <f aca="false">IF(A20&lt;=Inputs!$B$21,"",IF(AND(A20&lt;=Inputs!$B$22,Capitalization!C$18&gt;0),Inputs!$B$25,Inputs!$B$26))</f>
        <v>0.975</v>
      </c>
      <c r="K20" s="13" t="n">
        <f aca="false">IF(A20=0,-Capitalization!C$19,IF(A20&lt;=Inputs!$B$21,0,I20*J20-IF(AND(A20=Inputs!$B$22,Capitalization!C$18&gt;0),Inputs!$B$23,0)))</f>
        <v>1.97435090002577</v>
      </c>
      <c r="L20" s="23" t="n">
        <f aca="false">IF(H20&gt;0,G20/H20,"")</f>
        <v>1.23799673194638</v>
      </c>
      <c r="M20" s="13" t="n">
        <f aca="false">IF(A20=0,-Capitalization!C$4,IF(A20&lt;=Inputs!$B$21,0,G20))</f>
        <v>10.533391618374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IF(A21=0,"Equity",IF(A21&lt;=Inputs!$B$21,"Construction",IF(A21&lt;=Inputs!$B$21+Inputs!$B$5,"Queue wait",IF(A21&lt;=Inputs!$B$21+Configurations!$B$15,"Grid ops","—"))))</f>
        <v>Grid ops</v>
      </c>
      <c r="C21" s="4" t="n">
        <f aca="false">IF(A21&lt;=Inputs!$B$21,"",A21-Inputs!$B$21-1)</f>
        <v>13</v>
      </c>
      <c r="D21" s="14" t="n">
        <f aca="false">IF(OR(A21&lt;=Inputs!$B$21,A21&gt;Inputs!$B$21+Configurations!$B$15),0,Configurations!$B$4*Configurations!$B$5*8760*(1-Configurations!$B$6)^C21*Configurations!$B$7*(1-Configurations!$B$8))</f>
        <v>215658.977161339</v>
      </c>
      <c r="E21" s="13" t="n">
        <f aca="false">IF(OR(A21&lt;=Inputs!$B$21,A21&gt;Inputs!$B$21+Configurations!$B$15),0,IF(A21&lt;=Inputs!$B$21+Inputs!$B$5,D21*(1-Inputs!$B$10)*Inputs!$B$19/1000000,D21*Inputs!$B$18/1000000))</f>
        <v>15.5274463556164</v>
      </c>
      <c r="F21" s="13" t="n">
        <f aca="false">IF(OR(A21&lt;=Inputs!$B$21,A21&gt;Inputs!$B$21+Configurations!$B$15),0,Configurations!$B$12+Configurations!$B$13+Configurations!$B$14+Inputs!$B$20*E21)</f>
        <v>5.07091169533425</v>
      </c>
      <c r="G21" s="13" t="n">
        <f aca="false">E21-F21</f>
        <v>10.4565346602821</v>
      </c>
      <c r="H21" s="21" t="n">
        <f aca="false">IF(AND(A21&gt;Inputs!$B$21,A21&lt;=Inputs!$B$21+Inputs!$B$12),Capitalization!C$12,0)</f>
        <v>8.50841633629629</v>
      </c>
      <c r="I21" s="13" t="n">
        <f aca="false">G21-H21</f>
        <v>1.94811832398584</v>
      </c>
      <c r="J21" s="22" t="n">
        <f aca="false">IF(A21&lt;=Inputs!$B$21,"",IF(AND(A21&lt;=Inputs!$B$22,Capitalization!C$18&gt;0),Inputs!$B$25,Inputs!$B$26))</f>
        <v>0.975</v>
      </c>
      <c r="K21" s="13" t="n">
        <f aca="false">IF(A21=0,-Capitalization!C$19,IF(A21&lt;=Inputs!$B$21,0,I21*J21-IF(AND(A21=Inputs!$B$22,Capitalization!C$18&gt;0),Inputs!$B$23,0)))</f>
        <v>1.8994153658862</v>
      </c>
      <c r="L21" s="23" t="n">
        <f aca="false">IF(H21&gt;0,G21/H21,"")</f>
        <v>1.22896368101727</v>
      </c>
      <c r="M21" s="13" t="n">
        <f aca="false">IF(A21=0,-Capitalization!C$4,IF(A21&lt;=Inputs!$B$21,0,G21))</f>
        <v>10.4565346602821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IF(A22=0,"Equity",IF(A22&lt;=Inputs!$B$21,"Construction",IF(A22&lt;=Inputs!$B$21+Inputs!$B$5,"Queue wait",IF(A22&lt;=Inputs!$B$21+Configurations!$B$15,"Grid ops","—"))))</f>
        <v>Grid ops</v>
      </c>
      <c r="C22" s="4" t="n">
        <f aca="false">IF(A22&lt;=Inputs!$B$21,"",A22-Inputs!$B$21-1)</f>
        <v>14</v>
      </c>
      <c r="D22" s="14" t="n">
        <f aca="false">IF(OR(A22&lt;=Inputs!$B$21,A22&gt;Inputs!$B$21+Configurations!$B$15),0,Configurations!$B$4*Configurations!$B$5*8760*(1-Configurations!$B$6)^C22*Configurations!$B$7*(1-Configurations!$B$8))</f>
        <v>214580.682275532</v>
      </c>
      <c r="E22" s="13" t="n">
        <f aca="false">IF(OR(A22&lt;=Inputs!$B$21,A22&gt;Inputs!$B$21+Configurations!$B$15),0,IF(A22&lt;=Inputs!$B$21+Inputs!$B$5,D22*(1-Inputs!$B$10)*Inputs!$B$19/1000000,D22*Inputs!$B$18/1000000))</f>
        <v>15.4498091238383</v>
      </c>
      <c r="F22" s="13" t="n">
        <f aca="false">IF(OR(A22&lt;=Inputs!$B$21,A22&gt;Inputs!$B$21+Configurations!$B$15),0,Configurations!$B$12+Configurations!$B$13+Configurations!$B$14+Inputs!$B$20*E22)</f>
        <v>5.06974713685758</v>
      </c>
      <c r="G22" s="13" t="n">
        <f aca="false">E22-F22</f>
        <v>10.3800619869807</v>
      </c>
      <c r="H22" s="21" t="n">
        <f aca="false">IF(AND(A22&gt;Inputs!$B$21,A22&lt;=Inputs!$B$21+Inputs!$B$12),Capitalization!C$12,0)</f>
        <v>8.50841633629629</v>
      </c>
      <c r="I22" s="13" t="n">
        <f aca="false">G22-H22</f>
        <v>1.87164565068443</v>
      </c>
      <c r="J22" s="22" t="n">
        <f aca="false">IF(A22&lt;=Inputs!$B$21,"",IF(AND(A22&lt;=Inputs!$B$22,Capitalization!C$18&gt;0),Inputs!$B$25,Inputs!$B$26))</f>
        <v>0.975</v>
      </c>
      <c r="K22" s="13" t="n">
        <f aca="false">IF(A22=0,-Capitalization!C$19,IF(A22&lt;=Inputs!$B$21,0,I22*J22-IF(AND(A22=Inputs!$B$22,Capitalization!C$18&gt;0),Inputs!$B$23,0)))</f>
        <v>1.82485450941732</v>
      </c>
      <c r="L22" s="23" t="n">
        <f aca="false">IF(H22&gt;0,G22/H22,"")</f>
        <v>1.2199757953428</v>
      </c>
      <c r="M22" s="13" t="n">
        <f aca="false">IF(A22=0,-Capitalization!C$4,IF(A22&lt;=Inputs!$B$21,0,G22))</f>
        <v>10.3800619869807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IF(A23=0,"Equity",IF(A23&lt;=Inputs!$B$21,"Construction",IF(A23&lt;=Inputs!$B$21+Inputs!$B$5,"Queue wait",IF(A23&lt;=Inputs!$B$21+Configurations!$B$15,"Grid ops","—"))))</f>
        <v>Grid ops</v>
      </c>
      <c r="C23" s="4" t="n">
        <f aca="false">IF(A23&lt;=Inputs!$B$21,"",A23-Inputs!$B$21-1)</f>
        <v>15</v>
      </c>
      <c r="D23" s="14" t="n">
        <f aca="false">IF(OR(A23&lt;=Inputs!$B$21,A23&gt;Inputs!$B$21+Configurations!$B$15),0,Configurations!$B$4*Configurations!$B$5*8760*(1-Configurations!$B$6)^C23*Configurations!$B$7*(1-Configurations!$B$8))</f>
        <v>213507.778864154</v>
      </c>
      <c r="E23" s="13" t="n">
        <f aca="false">IF(OR(A23&lt;=Inputs!$B$21,A23&gt;Inputs!$B$21+Configurations!$B$15),0,IF(A23&lt;=Inputs!$B$21+Inputs!$B$5,D23*(1-Inputs!$B$10)*Inputs!$B$19/1000000,D23*Inputs!$B$18/1000000))</f>
        <v>15.3725600782191</v>
      </c>
      <c r="F23" s="13" t="n">
        <f aca="false">IF(OR(A23&lt;=Inputs!$B$21,A23&gt;Inputs!$B$21+Configurations!$B$15),0,Configurations!$B$12+Configurations!$B$13+Configurations!$B$14+Inputs!$B$20*E23)</f>
        <v>5.06858840117329</v>
      </c>
      <c r="G23" s="13" t="n">
        <f aca="false">E23-F23</f>
        <v>10.3039716770458</v>
      </c>
      <c r="H23" s="21" t="n">
        <f aca="false">IF(AND(A23&gt;Inputs!$B$21,A23&lt;=Inputs!$B$21+Inputs!$B$12),Capitalization!C$12,0)</f>
        <v>8.50841633629629</v>
      </c>
      <c r="I23" s="13" t="n">
        <f aca="false">G23-H23</f>
        <v>1.79555534074953</v>
      </c>
      <c r="J23" s="22" t="n">
        <f aca="false">IF(A23&lt;=Inputs!$B$21,"",IF(AND(A23&lt;=Inputs!$B$22,Capitalization!C$18&gt;0),Inputs!$B$25,Inputs!$B$26))</f>
        <v>0.975</v>
      </c>
      <c r="K23" s="13" t="n">
        <f aca="false">IF(A23=0,-Capitalization!C$19,IF(A23&lt;=Inputs!$B$21,0,I23*J23-IF(AND(A23=Inputs!$B$22,Capitalization!C$18&gt;0),Inputs!$B$23,0)))</f>
        <v>1.75066645723079</v>
      </c>
      <c r="L23" s="23" t="n">
        <f aca="false">IF(H23&gt;0,G23/H23,"")</f>
        <v>1.2110328490967</v>
      </c>
      <c r="M23" s="13" t="n">
        <f aca="false">IF(A23=0,-Capitalization!C$4,IF(A23&lt;=Inputs!$B$21,0,G23))</f>
        <v>10.3039716770458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IF(A24=0,"Equity",IF(A24&lt;=Inputs!$B$21,"Construction",IF(A24&lt;=Inputs!$B$21+Inputs!$B$5,"Queue wait",IF(A24&lt;=Inputs!$B$21+Configurations!$B$15,"Grid ops","—"))))</f>
        <v>Grid ops</v>
      </c>
      <c r="C24" s="4" t="n">
        <f aca="false">IF(A24&lt;=Inputs!$B$21,"",A24-Inputs!$B$21-1)</f>
        <v>16</v>
      </c>
      <c r="D24" s="14" t="n">
        <f aca="false">IF(OR(A24&lt;=Inputs!$B$21,A24&gt;Inputs!$B$21+Configurations!$B$15),0,Configurations!$B$4*Configurations!$B$5*8760*(1-Configurations!$B$6)^C24*Configurations!$B$7*(1-Configurations!$B$8))</f>
        <v>212440.239969834</v>
      </c>
      <c r="E24" s="13" t="n">
        <f aca="false">IF(OR(A24&lt;=Inputs!$B$21,A24&gt;Inputs!$B$21+Configurations!$B$15),0,IF(A24&lt;=Inputs!$B$21+Inputs!$B$5,D24*(1-Inputs!$B$10)*Inputs!$B$19/1000000,D24*Inputs!$B$18/1000000))</f>
        <v>15.295697277828</v>
      </c>
      <c r="F24" s="13" t="n">
        <f aca="false">IF(OR(A24&lt;=Inputs!$B$21,A24&gt;Inputs!$B$21+Configurations!$B$15),0,Configurations!$B$12+Configurations!$B$13+Configurations!$B$14+Inputs!$B$20*E24)</f>
        <v>5.06743545916742</v>
      </c>
      <c r="G24" s="13" t="n">
        <f aca="false">E24-F24</f>
        <v>10.2282618186606</v>
      </c>
      <c r="H24" s="21" t="n">
        <f aca="false">IF(AND(A24&gt;Inputs!$B$21,A24&lt;=Inputs!$B$21+Inputs!$B$12),Capitalization!C$12,0)</f>
        <v>8.50841633629629</v>
      </c>
      <c r="I24" s="13" t="n">
        <f aca="false">G24-H24</f>
        <v>1.7198454823643</v>
      </c>
      <c r="J24" s="22" t="n">
        <f aca="false">IF(A24&lt;=Inputs!$B$21,"",IF(AND(A24&lt;=Inputs!$B$22,Capitalization!C$18&gt;0),Inputs!$B$25,Inputs!$B$26))</f>
        <v>0.975</v>
      </c>
      <c r="K24" s="13" t="n">
        <f aca="false">IF(A24=0,-Capitalization!C$19,IF(A24&lt;=Inputs!$B$21,0,I24*J24-IF(AND(A24=Inputs!$B$22,Capitalization!C$18&gt;0),Inputs!$B$23,0)))</f>
        <v>1.67684934530519</v>
      </c>
      <c r="L24" s="23" t="n">
        <f aca="false">IF(H24&gt;0,G24/H24,"")</f>
        <v>1.20213461758184</v>
      </c>
      <c r="M24" s="13" t="n">
        <f aca="false">IF(A24=0,-Capitalization!C$4,IF(A24&lt;=Inputs!$B$21,0,G24))</f>
        <v>10.2282618186606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IF(A25=0,"Equity",IF(A25&lt;=Inputs!$B$21,"Construction",IF(A25&lt;=Inputs!$B$21+Inputs!$B$5,"Queue wait",IF(A25&lt;=Inputs!$B$21+Configurations!$B$15,"Grid ops","—"))))</f>
        <v>Grid ops</v>
      </c>
      <c r="C25" s="4" t="n">
        <f aca="false">IF(A25&lt;=Inputs!$B$21,"",A25-Inputs!$B$21-1)</f>
        <v>17</v>
      </c>
      <c r="D25" s="14" t="n">
        <f aca="false">IF(OR(A25&lt;=Inputs!$B$21,A25&gt;Inputs!$B$21+Configurations!$B$15),0,Configurations!$B$4*Configurations!$B$5*8760*(1-Configurations!$B$6)^C25*Configurations!$B$7*(1-Configurations!$B$8))</f>
        <v>211378.038769984</v>
      </c>
      <c r="E25" s="13" t="n">
        <f aca="false">IF(OR(A25&lt;=Inputs!$B$21,A25&gt;Inputs!$B$21+Configurations!$B$15),0,IF(A25&lt;=Inputs!$B$21+Inputs!$B$5,D25*(1-Inputs!$B$10)*Inputs!$B$19/1000000,D25*Inputs!$B$18/1000000))</f>
        <v>15.2192187914389</v>
      </c>
      <c r="F25" s="13" t="n">
        <f aca="false">IF(OR(A25&lt;=Inputs!$B$21,A25&gt;Inputs!$B$21+Configurations!$B$15),0,Configurations!$B$12+Configurations!$B$13+Configurations!$B$14+Inputs!$B$20*E25)</f>
        <v>5.06628828187158</v>
      </c>
      <c r="G25" s="13" t="n">
        <f aca="false">E25-F25</f>
        <v>10.1529305095673</v>
      </c>
      <c r="H25" s="21" t="n">
        <f aca="false">IF(AND(A25&gt;Inputs!$B$21,A25&lt;=Inputs!$B$21+Inputs!$B$12),Capitalization!C$12,0)</f>
        <v>8.50841633629629</v>
      </c>
      <c r="I25" s="13" t="n">
        <f aca="false">G25-H25</f>
        <v>1.64451417327099</v>
      </c>
      <c r="J25" s="22" t="n">
        <f aca="false">IF(A25&lt;=Inputs!$B$21,"",IF(AND(A25&lt;=Inputs!$B$22,Capitalization!C$18&gt;0),Inputs!$B$25,Inputs!$B$26))</f>
        <v>0.975</v>
      </c>
      <c r="K25" s="13" t="n">
        <f aca="false">IF(A25=0,-Capitalization!C$19,IF(A25&lt;=Inputs!$B$21,0,I25*J25-IF(AND(A25=Inputs!$B$22,Capitalization!C$18&gt;0),Inputs!$B$23,0)))</f>
        <v>1.60340131893922</v>
      </c>
      <c r="L25" s="23" t="n">
        <f aca="false">IF(H25&gt;0,G25/H25,"")</f>
        <v>1.19328087722454</v>
      </c>
      <c r="M25" s="13" t="n">
        <f aca="false">IF(A25=0,-Capitalization!C$4,IF(A25&lt;=Inputs!$B$21,0,G25))</f>
        <v>10.1529305095673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IF(A26=0,"Equity",IF(A26&lt;=Inputs!$B$21,"Construction",IF(A26&lt;=Inputs!$B$21+Inputs!$B$5,"Queue wait",IF(A26&lt;=Inputs!$B$21+Configurations!$B$15,"Grid ops","—"))))</f>
        <v>Grid ops</v>
      </c>
      <c r="C26" s="4" t="n">
        <f aca="false">IF(A26&lt;=Inputs!$B$21,"",A26-Inputs!$B$21-1)</f>
        <v>18</v>
      </c>
      <c r="D26" s="14" t="n">
        <f aca="false">IF(OR(A26&lt;=Inputs!$B$21,A26&gt;Inputs!$B$21+Configurations!$B$15),0,Configurations!$B$4*Configurations!$B$5*8760*(1-Configurations!$B$6)^C26*Configurations!$B$7*(1-Configurations!$B$8))</f>
        <v>210321.148576134</v>
      </c>
      <c r="E26" s="13" t="n">
        <f aca="false">IF(OR(A26&lt;=Inputs!$B$21,A26&gt;Inputs!$B$21+Configurations!$B$15),0,IF(A26&lt;=Inputs!$B$21+Inputs!$B$5,D26*(1-Inputs!$B$10)*Inputs!$B$19/1000000,D26*Inputs!$B$18/1000000))</f>
        <v>15.1431226974817</v>
      </c>
      <c r="F26" s="13" t="n">
        <f aca="false">IF(OR(A26&lt;=Inputs!$B$21,A26&gt;Inputs!$B$21+Configurations!$B$15),0,Configurations!$B$12+Configurations!$B$13+Configurations!$B$14+Inputs!$B$20*E26)</f>
        <v>5.06514684046223</v>
      </c>
      <c r="G26" s="13" t="n">
        <f aca="false">E26-F26</f>
        <v>10.0779758570195</v>
      </c>
      <c r="H26" s="21" t="n">
        <f aca="false">IF(AND(A26&gt;Inputs!$B$21,A26&lt;=Inputs!$B$21+Inputs!$B$12),Capitalization!C$12,0)</f>
        <v>8.50841633629629</v>
      </c>
      <c r="I26" s="13" t="n">
        <f aca="false">G26-H26</f>
        <v>1.56955952072316</v>
      </c>
      <c r="J26" s="22" t="n">
        <f aca="false">IF(A26&lt;=Inputs!$B$21,"",IF(AND(A26&lt;=Inputs!$B$22,Capitalization!C$18&gt;0),Inputs!$B$25,Inputs!$B$26))</f>
        <v>0.975</v>
      </c>
      <c r="K26" s="13" t="n">
        <f aca="false">IF(A26=0,-Capitalization!C$19,IF(A26&lt;=Inputs!$B$21,0,I26*J26-IF(AND(A26=Inputs!$B$22,Capitalization!C$18&gt;0),Inputs!$B$23,0)))</f>
        <v>1.53032053270508</v>
      </c>
      <c r="L26" s="23" t="n">
        <f aca="false">IF(H26&gt;0,G26/H26,"")</f>
        <v>1.18447140556904</v>
      </c>
      <c r="M26" s="13" t="n">
        <f aca="false">IF(A26=0,-Capitalization!C$4,IF(A26&lt;=Inputs!$B$21,0,G26))</f>
        <v>10.0779758570195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IF(A27=0,"Equity",IF(A27&lt;=Inputs!$B$21,"Construction",IF(A27&lt;=Inputs!$B$21+Inputs!$B$5,"Queue wait",IF(A27&lt;=Inputs!$B$21+Configurations!$B$15,"Grid ops","—"))))</f>
        <v>Grid ops</v>
      </c>
      <c r="C27" s="4" t="n">
        <f aca="false">IF(A27&lt;=Inputs!$B$21,"",A27-Inputs!$B$21-1)</f>
        <v>19</v>
      </c>
      <c r="D27" s="14" t="n">
        <f aca="false">IF(OR(A27&lt;=Inputs!$B$21,A27&gt;Inputs!$B$21+Configurations!$B$15),0,Configurations!$B$4*Configurations!$B$5*8760*(1-Configurations!$B$6)^C27*Configurations!$B$7*(1-Configurations!$B$8))</f>
        <v>209269.542833254</v>
      </c>
      <c r="E27" s="13" t="n">
        <f aca="false">IF(OR(A27&lt;=Inputs!$B$21,A27&gt;Inputs!$B$21+Configurations!$B$15),0,IF(A27&lt;=Inputs!$B$21+Inputs!$B$5,D27*(1-Inputs!$B$10)*Inputs!$B$19/1000000,D27*Inputs!$B$18/1000000))</f>
        <v>15.0674070839943</v>
      </c>
      <c r="F27" s="13" t="n">
        <f aca="false">IF(OR(A27&lt;=Inputs!$B$21,A27&gt;Inputs!$B$21+Configurations!$B$15),0,Configurations!$B$12+Configurations!$B$13+Configurations!$B$14+Inputs!$B$20*E27)</f>
        <v>5.06401110625991</v>
      </c>
      <c r="G27" s="13" t="n">
        <f aca="false">E27-F27</f>
        <v>10.0033959777344</v>
      </c>
      <c r="H27" s="21" t="n">
        <f aca="false">IF(AND(A27&gt;Inputs!$B$21,A27&lt;=Inputs!$B$21+Inputs!$B$12),Capitalization!C$12,0)</f>
        <v>8.50841633629629</v>
      </c>
      <c r="I27" s="13" t="n">
        <f aca="false">G27-H27</f>
        <v>1.49497964143806</v>
      </c>
      <c r="J27" s="22" t="n">
        <f aca="false">IF(A27&lt;=Inputs!$B$21,"",IF(AND(A27&lt;=Inputs!$B$22,Capitalization!C$18&gt;0),Inputs!$B$25,Inputs!$B$26))</f>
        <v>0.975</v>
      </c>
      <c r="K27" s="13" t="n">
        <f aca="false">IF(A27=0,-Capitalization!C$19,IF(A27&lt;=Inputs!$B$21,0,I27*J27-IF(AND(A27=Inputs!$B$22,Capitalization!C$18&gt;0),Inputs!$B$23,0)))</f>
        <v>1.45760515040211</v>
      </c>
      <c r="L27" s="23" t="n">
        <f aca="false">IF(H27&gt;0,G27/H27,"")</f>
        <v>1.17570598127181</v>
      </c>
      <c r="M27" s="13" t="n">
        <f aca="false">IF(A27=0,-Capitalization!C$4,IF(A27&lt;=Inputs!$B$21,0,G27))</f>
        <v>10.0033959777344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IF(A28=0,"Equity",IF(A28&lt;=Inputs!$B$21,"Construction",IF(A28&lt;=Inputs!$B$21+Inputs!$B$5,"Queue wait",IF(A28&lt;=Inputs!$B$21+Configurations!$B$15,"Grid ops","—"))))</f>
        <v>Grid ops</v>
      </c>
      <c r="C28" s="4" t="n">
        <f aca="false">IF(A28&lt;=Inputs!$B$21,"",A28-Inputs!$B$21-1)</f>
        <v>20</v>
      </c>
      <c r="D28" s="14" t="n">
        <f aca="false">IF(OR(A28&lt;=Inputs!$B$21,A28&gt;Inputs!$B$21+Configurations!$B$15),0,Configurations!$B$4*Configurations!$B$5*8760*(1-Configurations!$B$6)^C28*Configurations!$B$7*(1-Configurations!$B$8))</f>
        <v>208223.195119087</v>
      </c>
      <c r="E28" s="13" t="n">
        <f aca="false">IF(OR(A28&lt;=Inputs!$B$21,A28&gt;Inputs!$B$21+Configurations!$B$15),0,IF(A28&lt;=Inputs!$B$21+Inputs!$B$5,D28*(1-Inputs!$B$10)*Inputs!$B$19/1000000,D28*Inputs!$B$18/1000000))</f>
        <v>14.9920700485743</v>
      </c>
      <c r="F28" s="13" t="n">
        <f aca="false">IF(OR(A28&lt;=Inputs!$B$21,A28&gt;Inputs!$B$21+Configurations!$B$15),0,Configurations!$B$12+Configurations!$B$13+Configurations!$B$14+Inputs!$B$20*E28)</f>
        <v>5.06288105072861</v>
      </c>
      <c r="G28" s="13" t="n">
        <f aca="false">E28-F28</f>
        <v>9.92918899784569</v>
      </c>
      <c r="H28" s="21" t="n">
        <f aca="false">IF(AND(A28&gt;Inputs!$B$21,A28&lt;=Inputs!$B$21+Inputs!$B$12),Capitalization!C$12,0)</f>
        <v>0</v>
      </c>
      <c r="I28" s="13" t="n">
        <f aca="false">G28-H28</f>
        <v>9.92918899784569</v>
      </c>
      <c r="J28" s="22" t="n">
        <f aca="false">IF(A28&lt;=Inputs!$B$21,"",IF(AND(A28&lt;=Inputs!$B$22,Capitalization!C$18&gt;0),Inputs!$B$25,Inputs!$B$26))</f>
        <v>0.975</v>
      </c>
      <c r="K28" s="13" t="n">
        <f aca="false">IF(A28=0,-Capitalization!C$19,IF(A28&lt;=Inputs!$B$21,0,I28*J28-IF(AND(A28=Inputs!$B$22,Capitalization!C$18&gt;0),Inputs!$B$23,0)))</f>
        <v>9.68095927289954</v>
      </c>
      <c r="L28" s="23" t="str">
        <f aca="false">IF(H28&gt;0,G28/H28,"")</f>
        <v/>
      </c>
      <c r="M28" s="13" t="n">
        <f aca="false">IF(A28=0,-Capitalization!C$4,IF(A28&lt;=Inputs!$B$21,0,G28))</f>
        <v>9.92918899784569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IF(A29=0,"Equity",IF(A29&lt;=Inputs!$B$21,"Construction",IF(A29&lt;=Inputs!$B$21+Inputs!$B$5,"Queue wait",IF(A29&lt;=Inputs!$B$21+Configurations!$B$15,"Grid ops","—"))))</f>
        <v>Grid ops</v>
      </c>
      <c r="C29" s="4" t="n">
        <f aca="false">IF(A29&lt;=Inputs!$B$21,"",A29-Inputs!$B$21-1)</f>
        <v>21</v>
      </c>
      <c r="D29" s="14" t="n">
        <f aca="false">IF(OR(A29&lt;=Inputs!$B$21,A29&gt;Inputs!$B$21+Configurations!$B$15),0,Configurations!$B$4*Configurations!$B$5*8760*(1-Configurations!$B$6)^C29*Configurations!$B$7*(1-Configurations!$B$8))</f>
        <v>207182.079143492</v>
      </c>
      <c r="E29" s="13" t="n">
        <f aca="false">IF(OR(A29&lt;=Inputs!$B$21,A29&gt;Inputs!$B$21+Configurations!$B$15),0,IF(A29&lt;=Inputs!$B$21+Inputs!$B$5,D29*(1-Inputs!$B$10)*Inputs!$B$19/1000000,D29*Inputs!$B$18/1000000))</f>
        <v>14.9171096983314</v>
      </c>
      <c r="F29" s="13" t="n">
        <f aca="false">IF(OR(A29&lt;=Inputs!$B$21,A29&gt;Inputs!$B$21+Configurations!$B$15),0,Configurations!$B$12+Configurations!$B$13+Configurations!$B$14+Inputs!$B$20*E29)</f>
        <v>5.06175664547497</v>
      </c>
      <c r="G29" s="13" t="n">
        <f aca="false">E29-F29</f>
        <v>9.85535305285645</v>
      </c>
      <c r="H29" s="21" t="n">
        <f aca="false">IF(AND(A29&gt;Inputs!$B$21,A29&lt;=Inputs!$B$21+Inputs!$B$12),Capitalization!C$12,0)</f>
        <v>0</v>
      </c>
      <c r="I29" s="13" t="n">
        <f aca="false">G29-H29</f>
        <v>9.85535305285645</v>
      </c>
      <c r="J29" s="22" t="n">
        <f aca="false">IF(A29&lt;=Inputs!$B$21,"",IF(AND(A29&lt;=Inputs!$B$22,Capitalization!C$18&gt;0),Inputs!$B$25,Inputs!$B$26))</f>
        <v>0.975</v>
      </c>
      <c r="K29" s="13" t="n">
        <f aca="false">IF(A29=0,-Capitalization!C$19,IF(A29&lt;=Inputs!$B$21,0,I29*J29-IF(AND(A29=Inputs!$B$22,Capitalization!C$18&gt;0),Inputs!$B$23,0)))</f>
        <v>9.60896922653504</v>
      </c>
      <c r="L29" s="23" t="str">
        <f aca="false">IF(H29&gt;0,G29/H29,"")</f>
        <v/>
      </c>
      <c r="M29" s="13" t="n">
        <f aca="false">IF(A29=0,-Capitalization!C$4,IF(A29&lt;=Inputs!$B$21,0,G29))</f>
        <v>9.85535305285645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IF(A30=0,"Equity",IF(A30&lt;=Inputs!$B$21,"Construction",IF(A30&lt;=Inputs!$B$21+Inputs!$B$5,"Queue wait",IF(A30&lt;=Inputs!$B$21+Configurations!$B$15,"Grid ops","—"))))</f>
        <v>Grid ops</v>
      </c>
      <c r="C30" s="4" t="n">
        <f aca="false">IF(A30&lt;=Inputs!$B$21,"",A30-Inputs!$B$21-1)</f>
        <v>22</v>
      </c>
      <c r="D30" s="14" t="n">
        <f aca="false">IF(OR(A30&lt;=Inputs!$B$21,A30&gt;Inputs!$B$21+Configurations!$B$15),0,Configurations!$B$4*Configurations!$B$5*8760*(1-Configurations!$B$6)^C30*Configurations!$B$7*(1-Configurations!$B$8))</f>
        <v>206146.168747775</v>
      </c>
      <c r="E30" s="13" t="n">
        <f aca="false">IF(OR(A30&lt;=Inputs!$B$21,A30&gt;Inputs!$B$21+Configurations!$B$15),0,IF(A30&lt;=Inputs!$B$21+Inputs!$B$5,D30*(1-Inputs!$B$10)*Inputs!$B$19/1000000,D30*Inputs!$B$18/1000000))</f>
        <v>14.8425241498398</v>
      </c>
      <c r="F30" s="13" t="n">
        <f aca="false">IF(OR(A30&lt;=Inputs!$B$21,A30&gt;Inputs!$B$21+Configurations!$B$15),0,Configurations!$B$12+Configurations!$B$13+Configurations!$B$14+Inputs!$B$20*E30)</f>
        <v>5.0606378622476</v>
      </c>
      <c r="G30" s="13" t="n">
        <f aca="false">E30-F30</f>
        <v>9.78188628759217</v>
      </c>
      <c r="H30" s="21" t="n">
        <f aca="false">IF(AND(A30&gt;Inputs!$B$21,A30&lt;=Inputs!$B$21+Inputs!$B$12),Capitalization!C$12,0)</f>
        <v>0</v>
      </c>
      <c r="I30" s="13" t="n">
        <f aca="false">G30-H30</f>
        <v>9.78188628759217</v>
      </c>
      <c r="J30" s="22" t="n">
        <f aca="false">IF(A30&lt;=Inputs!$B$21,"",IF(AND(A30&lt;=Inputs!$B$22,Capitalization!C$18&gt;0),Inputs!$B$25,Inputs!$B$26))</f>
        <v>0.975</v>
      </c>
      <c r="K30" s="13" t="n">
        <f aca="false">IF(A30=0,-Capitalization!C$19,IF(A30&lt;=Inputs!$B$21,0,I30*J30-IF(AND(A30=Inputs!$B$22,Capitalization!C$18&gt;0),Inputs!$B$23,0)))</f>
        <v>9.53733913040237</v>
      </c>
      <c r="L30" s="23" t="str">
        <f aca="false">IF(H30&gt;0,G30/H30,"")</f>
        <v/>
      </c>
      <c r="M30" s="13" t="n">
        <f aca="false">IF(A30=0,-Capitalization!C$4,IF(A30&lt;=Inputs!$B$21,0,G30))</f>
        <v>9.78188628759217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IF(A31=0,"Equity",IF(A31&lt;=Inputs!$B$21,"Construction",IF(A31&lt;=Inputs!$B$21+Inputs!$B$5,"Queue wait",IF(A31&lt;=Inputs!$B$21+Configurations!$B$15,"Grid ops","—"))))</f>
        <v>Grid ops</v>
      </c>
      <c r="C31" s="4" t="n">
        <f aca="false">IF(A31&lt;=Inputs!$B$21,"",A31-Inputs!$B$21-1)</f>
        <v>23</v>
      </c>
      <c r="D31" s="14" t="n">
        <f aca="false">IF(OR(A31&lt;=Inputs!$B$21,A31&gt;Inputs!$B$21+Configurations!$B$15),0,Configurations!$B$4*Configurations!$B$5*8760*(1-Configurations!$B$6)^C31*Configurations!$B$7*(1-Configurations!$B$8))</f>
        <v>205115.437904036</v>
      </c>
      <c r="E31" s="13" t="n">
        <f aca="false">IF(OR(A31&lt;=Inputs!$B$21,A31&gt;Inputs!$B$21+Configurations!$B$15),0,IF(A31&lt;=Inputs!$B$21+Inputs!$B$5,D31*(1-Inputs!$B$10)*Inputs!$B$19/1000000,D31*Inputs!$B$18/1000000))</f>
        <v>14.7683115290906</v>
      </c>
      <c r="F31" s="13" t="n">
        <f aca="false">IF(OR(A31&lt;=Inputs!$B$21,A31&gt;Inputs!$B$21+Configurations!$B$15),0,Configurations!$B$12+Configurations!$B$13+Configurations!$B$14+Inputs!$B$20*E31)</f>
        <v>5.05952467293636</v>
      </c>
      <c r="G31" s="13" t="n">
        <f aca="false">E31-F31</f>
        <v>9.70878685615421</v>
      </c>
      <c r="H31" s="21" t="n">
        <f aca="false">IF(AND(A31&gt;Inputs!$B$21,A31&lt;=Inputs!$B$21+Inputs!$B$12),Capitalization!C$12,0)</f>
        <v>0</v>
      </c>
      <c r="I31" s="13" t="n">
        <f aca="false">G31-H31</f>
        <v>9.70878685615421</v>
      </c>
      <c r="J31" s="22" t="n">
        <f aca="false">IF(A31&lt;=Inputs!$B$21,"",IF(AND(A31&lt;=Inputs!$B$22,Capitalization!C$18&gt;0),Inputs!$B$25,Inputs!$B$26))</f>
        <v>0.975</v>
      </c>
      <c r="K31" s="13" t="n">
        <f aca="false">IF(A31=0,-Capitalization!C$19,IF(A31&lt;=Inputs!$B$21,0,I31*J31-IF(AND(A31=Inputs!$B$22,Capitalization!C$18&gt;0),Inputs!$B$23,0)))</f>
        <v>9.46606718475036</v>
      </c>
      <c r="L31" s="23" t="str">
        <f aca="false">IF(H31&gt;0,G31/H31,"")</f>
        <v/>
      </c>
      <c r="M31" s="13" t="n">
        <f aca="false">IF(A31=0,-Capitalization!C$4,IF(A31&lt;=Inputs!$B$21,0,G31))</f>
        <v>9.70878685615421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IF(A32=0,"Equity",IF(A32&lt;=Inputs!$B$21,"Construction",IF(A32&lt;=Inputs!$B$21+Inputs!$B$5,"Queue wait",IF(A32&lt;=Inputs!$B$21+Configurations!$B$15,"Grid ops","—"))))</f>
        <v>Grid ops</v>
      </c>
      <c r="C32" s="4" t="n">
        <f aca="false">IF(A32&lt;=Inputs!$B$21,"",A32-Inputs!$B$21-1)</f>
        <v>24</v>
      </c>
      <c r="D32" s="14" t="n">
        <f aca="false">IF(OR(A32&lt;=Inputs!$B$21,A32&gt;Inputs!$B$21+Configurations!$B$15),0,Configurations!$B$4*Configurations!$B$5*8760*(1-Configurations!$B$6)^C32*Configurations!$B$7*(1-Configurations!$B$8))</f>
        <v>204089.860714516</v>
      </c>
      <c r="E32" s="13" t="n">
        <f aca="false">IF(OR(A32&lt;=Inputs!$B$21,A32&gt;Inputs!$B$21+Configurations!$B$15),0,IF(A32&lt;=Inputs!$B$21+Inputs!$B$5,D32*(1-Inputs!$B$10)*Inputs!$B$19/1000000,D32*Inputs!$B$18/1000000))</f>
        <v>14.6944699714451</v>
      </c>
      <c r="F32" s="13" t="n">
        <f aca="false">IF(OR(A32&lt;=Inputs!$B$21,A32&gt;Inputs!$B$21+Configurations!$B$15),0,Configurations!$B$12+Configurations!$B$13+Configurations!$B$14+Inputs!$B$20*E32)</f>
        <v>5.05841704957168</v>
      </c>
      <c r="G32" s="13" t="n">
        <f aca="false">E32-F32</f>
        <v>9.63605292187344</v>
      </c>
      <c r="H32" s="21" t="n">
        <f aca="false">IF(AND(A32&gt;Inputs!$B$21,A32&lt;=Inputs!$B$21+Inputs!$B$12),Capitalization!C$12,0)</f>
        <v>0</v>
      </c>
      <c r="I32" s="13" t="n">
        <f aca="false">G32-H32</f>
        <v>9.63605292187344</v>
      </c>
      <c r="J32" s="22" t="n">
        <f aca="false">IF(A32&lt;=Inputs!$B$21,"",IF(AND(A32&lt;=Inputs!$B$22,Capitalization!C$18&gt;0),Inputs!$B$25,Inputs!$B$26))</f>
        <v>0.975</v>
      </c>
      <c r="K32" s="13" t="n">
        <f aca="false">IF(A32=0,-Capitalization!C$19,IF(A32&lt;=Inputs!$B$21,0,I32*J32-IF(AND(A32=Inputs!$B$22,Capitalization!C$18&gt;0),Inputs!$B$23,0)))</f>
        <v>9.39515159882661</v>
      </c>
      <c r="L32" s="23" t="str">
        <f aca="false">IF(H32&gt;0,G32/H32,"")</f>
        <v/>
      </c>
      <c r="M32" s="13" t="n">
        <f aca="false">IF(A32=0,-Capitalization!C$4,IF(A32&lt;=Inputs!$B$21,0,G32))</f>
        <v>9.63605292187344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IF(A33=0,"Equity",IF(A33&lt;=Inputs!$B$21,"Construction",IF(A33&lt;=Inputs!$B$21+Inputs!$B$5,"Queue wait",IF(A33&lt;=Inputs!$B$21+Configurations!$B$15,"Grid ops","—"))))</f>
        <v>—</v>
      </c>
      <c r="C33" s="4" t="n">
        <f aca="false">IF(A33&lt;=Inputs!$B$21,"",A33-Inputs!$B$21-1)</f>
        <v>25</v>
      </c>
      <c r="D33" s="14" t="n">
        <f aca="false">IF(OR(A33&lt;=Inputs!$B$21,A33&gt;Inputs!$B$21+Configurations!$B$15),0,Configurations!$B$4*Configurations!$B$5*8760*(1-Configurations!$B$6)^C33*Configurations!$B$7*(1-Configurations!$B$8))</f>
        <v>0</v>
      </c>
      <c r="E33" s="13" t="n">
        <f aca="false">IF(OR(A33&lt;=Inputs!$B$21,A33&gt;Inputs!$B$21+Configurations!$B$15),0,IF(A33&lt;=Inputs!$B$21+Inputs!$B$5,D33*(1-Inputs!$B$10)*Inputs!$B$19/1000000,D33*Inputs!$B$18/1000000))</f>
        <v>0</v>
      </c>
      <c r="F33" s="13" t="n">
        <f aca="false">IF(OR(A33&lt;=Inputs!$B$21,A33&gt;Inputs!$B$21+Configurations!$B$15),0,Configurations!$B$12+Configurations!$B$13+Configurations!$B$14+Inputs!$B$20*E33)</f>
        <v>0</v>
      </c>
      <c r="G33" s="13" t="n">
        <f aca="false">E33-F33</f>
        <v>0</v>
      </c>
      <c r="H33" s="21" t="n">
        <f aca="false">IF(AND(A33&gt;Inputs!$B$21,A33&lt;=Inputs!$B$21+Inputs!$B$12),Capitalization!C$12,0)</f>
        <v>0</v>
      </c>
      <c r="I33" s="13" t="n">
        <f aca="false">G33-H33</f>
        <v>0</v>
      </c>
      <c r="J33" s="22" t="n">
        <f aca="false">IF(A33&lt;=Inputs!$B$21,"",IF(AND(A33&lt;=Inputs!$B$22,Capitalization!C$18&gt;0),Inputs!$B$25,Inputs!$B$26))</f>
        <v>0.975</v>
      </c>
      <c r="K33" s="13" t="n">
        <f aca="false">IF(A33=0,-Capitalization!C$19,IF(A33&lt;=Inputs!$B$21,0,I33*J33-IF(AND(A33=Inputs!$B$22,Capitalization!C$18&gt;0),Inputs!$B$23,0)))</f>
        <v>0</v>
      </c>
      <c r="L33" s="23" t="str">
        <f aca="false">IF(H33&gt;0,G33/H33,"")</f>
        <v/>
      </c>
      <c r="M33" s="13" t="n">
        <f aca="false">IF(A33=0,-Capitalization!C$4,IF(A33&lt;=Inputs!$B$21,0,G33))</f>
        <v>0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IF(A34=0,"Equity",IF(A34&lt;=Inputs!$B$21,"Construction",IF(A34&lt;=Inputs!$B$21+Inputs!$B$5,"Queue wait",IF(A34&lt;=Inputs!$B$21+Configurations!$B$15,"Grid ops","—"))))</f>
        <v>—</v>
      </c>
      <c r="C34" s="4" t="n">
        <f aca="false">IF(A34&lt;=Inputs!$B$21,"",A34-Inputs!$B$21-1)</f>
        <v>26</v>
      </c>
      <c r="D34" s="14" t="n">
        <f aca="false">IF(OR(A34&lt;=Inputs!$B$21,A34&gt;Inputs!$B$21+Configurations!$B$15),0,Configurations!$B$4*Configurations!$B$5*8760*(1-Configurations!$B$6)^C34*Configurations!$B$7*(1-Configurations!$B$8))</f>
        <v>0</v>
      </c>
      <c r="E34" s="13" t="n">
        <f aca="false">IF(OR(A34&lt;=Inputs!$B$21,A34&gt;Inputs!$B$21+Configurations!$B$15),0,IF(A34&lt;=Inputs!$B$21+Inputs!$B$5,D34*(1-Inputs!$B$10)*Inputs!$B$19/1000000,D34*Inputs!$B$18/1000000))</f>
        <v>0</v>
      </c>
      <c r="F34" s="13" t="n">
        <f aca="false">IF(OR(A34&lt;=Inputs!$B$21,A34&gt;Inputs!$B$21+Configurations!$B$15),0,Configurations!$B$12+Configurations!$B$13+Configurations!$B$14+Inputs!$B$20*E34)</f>
        <v>0</v>
      </c>
      <c r="G34" s="13" t="n">
        <f aca="false">E34-F34</f>
        <v>0</v>
      </c>
      <c r="H34" s="21" t="n">
        <f aca="false">IF(AND(A34&gt;Inputs!$B$21,A34&lt;=Inputs!$B$21+Inputs!$B$12),Capitalization!C$12,0)</f>
        <v>0</v>
      </c>
      <c r="I34" s="13" t="n">
        <f aca="false">G34-H34</f>
        <v>0</v>
      </c>
      <c r="J34" s="22" t="n">
        <f aca="false">IF(A34&lt;=Inputs!$B$21,"",IF(AND(A34&lt;=Inputs!$B$22,Capitalization!C$18&gt;0),Inputs!$B$25,Inputs!$B$26))</f>
        <v>0.975</v>
      </c>
      <c r="K34" s="13" t="n">
        <f aca="false">IF(A34=0,-Capitalization!C$19,IF(A34&lt;=Inputs!$B$21,0,I34*J34-IF(AND(A34=Inputs!$B$22,Capitalization!C$18&gt;0),Inputs!$B$23,0)))</f>
        <v>0</v>
      </c>
      <c r="L34" s="23" t="str">
        <f aca="false">IF(H34&gt;0,G34/H34,"")</f>
        <v/>
      </c>
      <c r="M34" s="13" t="n">
        <f aca="false">IF(A34=0,-Capitalization!C$4,IF(A34&lt;=Inputs!$B$21,0,G34))</f>
        <v>0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IF(A35=0,"Equity",IF(A35&lt;=Inputs!$B$21,"Construction",IF(A35&lt;=Inputs!$B$21+Inputs!$B$5,"Queue wait",IF(A35&lt;=Inputs!$B$21+Configurations!$B$15,"Grid ops","—"))))</f>
        <v>—</v>
      </c>
      <c r="C35" s="4" t="n">
        <f aca="false">IF(A35&lt;=Inputs!$B$21,"",A35-Inputs!$B$21-1)</f>
        <v>27</v>
      </c>
      <c r="D35" s="14" t="n">
        <f aca="false">IF(OR(A35&lt;=Inputs!$B$21,A35&gt;Inputs!$B$21+Configurations!$B$15),0,Configurations!$B$4*Configurations!$B$5*8760*(1-Configurations!$B$6)^C35*Configurations!$B$7*(1-Configurations!$B$8))</f>
        <v>0</v>
      </c>
      <c r="E35" s="13" t="n">
        <f aca="false">IF(OR(A35&lt;=Inputs!$B$21,A35&gt;Inputs!$B$21+Configurations!$B$15),0,IF(A35&lt;=Inputs!$B$21+Inputs!$B$5,D35*(1-Inputs!$B$10)*Inputs!$B$19/1000000,D35*Inputs!$B$18/1000000))</f>
        <v>0</v>
      </c>
      <c r="F35" s="13" t="n">
        <f aca="false">IF(OR(A35&lt;=Inputs!$B$21,A35&gt;Inputs!$B$21+Configurations!$B$15),0,Configurations!$B$12+Configurations!$B$13+Configurations!$B$14+Inputs!$B$20*E35)</f>
        <v>0</v>
      </c>
      <c r="G35" s="13" t="n">
        <f aca="false">E35-F35</f>
        <v>0</v>
      </c>
      <c r="H35" s="21" t="n">
        <f aca="false">IF(AND(A35&gt;Inputs!$B$21,A35&lt;=Inputs!$B$21+Inputs!$B$12),Capitalization!C$12,0)</f>
        <v>0</v>
      </c>
      <c r="I35" s="13" t="n">
        <f aca="false">G35-H35</f>
        <v>0</v>
      </c>
      <c r="J35" s="22" t="n">
        <f aca="false">IF(A35&lt;=Inputs!$B$21,"",IF(AND(A35&lt;=Inputs!$B$22,Capitalization!C$18&gt;0),Inputs!$B$25,Inputs!$B$26))</f>
        <v>0.975</v>
      </c>
      <c r="K35" s="13" t="n">
        <f aca="false">IF(A35=0,-Capitalization!C$19,IF(A35&lt;=Inputs!$B$21,0,I35*J35-IF(AND(A35=Inputs!$B$22,Capitalization!C$18&gt;0),Inputs!$B$23,0)))</f>
        <v>0</v>
      </c>
      <c r="L35" s="23" t="str">
        <f aca="false">IF(H35&gt;0,G35/H35,"")</f>
        <v/>
      </c>
      <c r="M35" s="13" t="n">
        <f aca="false">IF(A35=0,-Capitalization!C$4,IF(A35&lt;=Inputs!$B$21,0,G35))</f>
        <v>0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IF(A36=0,"Equity",IF(A36&lt;=Inputs!$B$21,"Construction",IF(A36&lt;=Inputs!$B$21+Inputs!$B$5,"Queue wait",IF(A36&lt;=Inputs!$B$21+Configurations!$B$15,"Grid ops","—"))))</f>
        <v>—</v>
      </c>
      <c r="C36" s="4" t="n">
        <f aca="false">IF(A36&lt;=Inputs!$B$21,"",A36-Inputs!$B$21-1)</f>
        <v>28</v>
      </c>
      <c r="D36" s="14" t="n">
        <f aca="false">IF(OR(A36&lt;=Inputs!$B$21,A36&gt;Inputs!$B$21+Configurations!$B$15),0,Configurations!$B$4*Configurations!$B$5*8760*(1-Configurations!$B$6)^C36*Configurations!$B$7*(1-Configurations!$B$8))</f>
        <v>0</v>
      </c>
      <c r="E36" s="13" t="n">
        <f aca="false">IF(OR(A36&lt;=Inputs!$B$21,A36&gt;Inputs!$B$21+Configurations!$B$15),0,IF(A36&lt;=Inputs!$B$21+Inputs!$B$5,D36*(1-Inputs!$B$10)*Inputs!$B$19/1000000,D36*Inputs!$B$18/1000000))</f>
        <v>0</v>
      </c>
      <c r="F36" s="13" t="n">
        <f aca="false">IF(OR(A36&lt;=Inputs!$B$21,A36&gt;Inputs!$B$21+Configurations!$B$15),0,Configurations!$B$12+Configurations!$B$13+Configurations!$B$14+Inputs!$B$20*E36)</f>
        <v>0</v>
      </c>
      <c r="G36" s="13" t="n">
        <f aca="false">E36-F36</f>
        <v>0</v>
      </c>
      <c r="H36" s="21" t="n">
        <f aca="false">IF(AND(A36&gt;Inputs!$B$21,A36&lt;=Inputs!$B$21+Inputs!$B$12),Capitalization!C$12,0)</f>
        <v>0</v>
      </c>
      <c r="I36" s="13" t="n">
        <f aca="false">G36-H36</f>
        <v>0</v>
      </c>
      <c r="J36" s="22" t="n">
        <f aca="false">IF(A36&lt;=Inputs!$B$21,"",IF(AND(A36&lt;=Inputs!$B$22,Capitalization!C$18&gt;0),Inputs!$B$25,Inputs!$B$26))</f>
        <v>0.975</v>
      </c>
      <c r="K36" s="13" t="n">
        <f aca="false">IF(A36=0,-Capitalization!C$19,IF(A36&lt;=Inputs!$B$21,0,I36*J36-IF(AND(A36=Inputs!$B$22,Capitalization!C$18&gt;0),Inputs!$B$23,0)))</f>
        <v>0</v>
      </c>
      <c r="L36" s="23" t="str">
        <f aca="false">IF(H36&gt;0,G36/H36,"")</f>
        <v/>
      </c>
      <c r="M36" s="13" t="n">
        <f aca="false">IF(A36=0,-Capitalization!C$4,IF(A36&lt;=Inputs!$B$21,0,G36))</f>
        <v>0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IF(A37=0,"Equity",IF(A37&lt;=Inputs!$B$21,"Construction",IF(A37&lt;=Inputs!$B$21+Inputs!$B$5,"Queue wait",IF(A37&lt;=Inputs!$B$21+Configurations!$B$15,"Grid ops","—"))))</f>
        <v>—</v>
      </c>
      <c r="C37" s="4" t="n">
        <f aca="false">IF(A37&lt;=Inputs!$B$21,"",A37-Inputs!$B$21-1)</f>
        <v>29</v>
      </c>
      <c r="D37" s="14" t="n">
        <f aca="false">IF(OR(A37&lt;=Inputs!$B$21,A37&gt;Inputs!$B$21+Configurations!$B$15),0,Configurations!$B$4*Configurations!$B$5*8760*(1-Configurations!$B$6)^C37*Configurations!$B$7*(1-Configurations!$B$8))</f>
        <v>0</v>
      </c>
      <c r="E37" s="13" t="n">
        <f aca="false">IF(OR(A37&lt;=Inputs!$B$21,A37&gt;Inputs!$B$21+Configurations!$B$15),0,IF(A37&lt;=Inputs!$B$21+Inputs!$B$5,D37*(1-Inputs!$B$10)*Inputs!$B$19/1000000,D37*Inputs!$B$18/1000000))</f>
        <v>0</v>
      </c>
      <c r="F37" s="13" t="n">
        <f aca="false">IF(OR(A37&lt;=Inputs!$B$21,A37&gt;Inputs!$B$21+Configurations!$B$15),0,Configurations!$B$12+Configurations!$B$13+Configurations!$B$14+Inputs!$B$20*E37)</f>
        <v>0</v>
      </c>
      <c r="G37" s="13" t="n">
        <f aca="false">E37-F37</f>
        <v>0</v>
      </c>
      <c r="H37" s="21" t="n">
        <f aca="false">IF(AND(A37&gt;Inputs!$B$21,A37&lt;=Inputs!$B$21+Inputs!$B$12),Capitalization!C$12,0)</f>
        <v>0</v>
      </c>
      <c r="I37" s="13" t="n">
        <f aca="false">G37-H37</f>
        <v>0</v>
      </c>
      <c r="J37" s="22" t="n">
        <f aca="false">IF(A37&lt;=Inputs!$B$21,"",IF(AND(A37&lt;=Inputs!$B$22,Capitalization!C$18&gt;0),Inputs!$B$25,Inputs!$B$26))</f>
        <v>0.975</v>
      </c>
      <c r="K37" s="13" t="n">
        <f aca="false">IF(A37=0,-Capitalization!C$19,IF(A37&lt;=Inputs!$B$21,0,I37*J37-IF(AND(A37=Inputs!$B$22,Capitalization!C$18&gt;0),Inputs!$B$23,0)))</f>
        <v>0</v>
      </c>
      <c r="L37" s="23" t="str">
        <f aca="false">IF(H37&gt;0,G37/H37,"")</f>
        <v/>
      </c>
      <c r="M37" s="13" t="n">
        <f aca="false">IF(A37=0,-Capitalization!C$4,IF(A37&lt;=Inputs!$B$21,0,G37))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15" t="s">
        <v>110</v>
      </c>
      <c r="B2" s="17" t="n">
        <f aca="false">IRR(K5:K37)</f>
        <v>0.0764716823708474</v>
      </c>
      <c r="C2" s="15" t="s">
        <v>111</v>
      </c>
      <c r="D2" s="18" t="n">
        <f aca="false">IRR(M5:M37)</f>
        <v>0.0203146798209051</v>
      </c>
      <c r="E2" s="15" t="s">
        <v>112</v>
      </c>
      <c r="F2" s="19" t="n">
        <f aca="false">K5+NPV(Inputs!$B$24,K6:K37)</f>
        <v>-2.47011975024881</v>
      </c>
    </row>
    <row r="4" customFormat="false" ht="26.85" hidden="false" customHeight="false" outlineLevel="0" collapsed="false">
      <c r="A4" s="20" t="s">
        <v>113</v>
      </c>
      <c r="B4" s="20" t="s">
        <v>114</v>
      </c>
      <c r="C4" s="20" t="s">
        <v>115</v>
      </c>
      <c r="D4" s="20" t="s">
        <v>116</v>
      </c>
      <c r="E4" s="20" t="s">
        <v>117</v>
      </c>
      <c r="F4" s="20" t="s">
        <v>118</v>
      </c>
      <c r="G4" s="20" t="s">
        <v>119</v>
      </c>
      <c r="H4" s="20" t="s">
        <v>120</v>
      </c>
      <c r="I4" s="20" t="s">
        <v>121</v>
      </c>
      <c r="J4" s="20" t="s">
        <v>122</v>
      </c>
      <c r="K4" s="20" t="s">
        <v>123</v>
      </c>
      <c r="L4" s="20" t="s">
        <v>124</v>
      </c>
      <c r="M4" s="20" t="s">
        <v>125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IF(A5=0,"Equity",IF(A5&lt;=Inputs!$B$21,"Construction",IF(A5&lt;=Inputs!$B$21+Inputs!$B$5,"Queue wait",IF(A5&lt;=Inputs!$B$21+Configurations!$C$15,"Grid ops","—"))))</f>
        <v>Equity</v>
      </c>
      <c r="C5" s="4" t="str">
        <f aca="false">IF(A5&lt;=Inputs!$B$21,"",A5-Inputs!$B$21-1)</f>
        <v/>
      </c>
      <c r="D5" s="14" t="n">
        <f aca="false">IF(OR(A5&lt;=Inputs!$B$21,A5&gt;Inputs!$B$21+Configurations!$C$15),0,Configurations!$C$4*Configurations!$C$5*8760*(1-Configurations!$C$6)^C5*Configurations!$C$7*(1-Configurations!$C$8))</f>
        <v>0</v>
      </c>
      <c r="E5" s="13" t="n">
        <f aca="false">IF(OR(A5&lt;=Inputs!$B$21,A5&gt;Inputs!$B$21+Configurations!$C$15),0,IF(A5&lt;=Inputs!$B$21+Inputs!$B$5,0,D5*Inputs!$B$18/1000000))</f>
        <v>0</v>
      </c>
      <c r="F5" s="13" t="n">
        <f aca="false">IF(OR(A5&lt;=Inputs!$B$21,A5&gt;Inputs!$B$21+Configurations!$C$15),0,IF(A5&lt;=Inputs!$B$21+Inputs!$B$5,Configurations!$C$13,Configurations!$C$12+Configurations!$C$13+Inputs!$B$20*E5))</f>
        <v>0</v>
      </c>
      <c r="G5" s="13" t="n">
        <f aca="false">E5-F5</f>
        <v>0</v>
      </c>
      <c r="H5" s="21" t="n">
        <f aca="false">IF(AND(A5&gt;Inputs!$B$21,A5&lt;=Inputs!$B$21+Inputs!$B$12),Capitalization!D$12,0)</f>
        <v>0</v>
      </c>
      <c r="I5" s="13" t="n">
        <f aca="false">G5-H5</f>
        <v>0</v>
      </c>
      <c r="J5" s="22" t="str">
        <f aca="false">IF(A5&lt;=Inputs!$B$21,"",IF(AND(A5&lt;=Inputs!$B$22,Capitalization!D$18&gt;0),Inputs!$B$25,Inputs!$B$26))</f>
        <v/>
      </c>
      <c r="K5" s="13" t="n">
        <f aca="false">IF(A5=0,-Capitalization!D$19,IF(A5&lt;=Inputs!$B$21,0,I5*J5-IF(AND(A5=Inputs!$B$22,Capitalization!D$18&gt;0),Inputs!$B$23,0)))</f>
        <v>-23.5434018356858</v>
      </c>
      <c r="L5" s="23" t="str">
        <f aca="false">IF(H5&gt;0,G5/H5,"")</f>
        <v/>
      </c>
      <c r="M5" s="13" t="n">
        <f aca="false">IF(A5=0,-Capitalization!D$4,IF(A5&lt;=Inputs!$B$21,0,G5))</f>
        <v>-321.4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IF(A6=0,"Equity",IF(A6&lt;=Inputs!$B$21,"Construction",IF(A6&lt;=Inputs!$B$21+Inputs!$B$5,"Queue wait",IF(A6&lt;=Inputs!$B$21+Configurations!$C$15,"Grid ops","—"))))</f>
        <v>Construction</v>
      </c>
      <c r="C6" s="4" t="str">
        <f aca="false">IF(A6&lt;=Inputs!$B$21,"",A6-Inputs!$B$21-1)</f>
        <v/>
      </c>
      <c r="D6" s="14" t="n">
        <f aca="false">IF(OR(A6&lt;=Inputs!$B$21,A6&gt;Inputs!$B$21+Configurations!$C$15),0,Configurations!$C$4*Configurations!$C$5*8760*(1-Configurations!$C$6)^C6*Configurations!$C$7*(1-Configurations!$C$8))</f>
        <v>0</v>
      </c>
      <c r="E6" s="13" t="n">
        <f aca="false">IF(OR(A6&lt;=Inputs!$B$21,A6&gt;Inputs!$B$21+Configurations!$C$15),0,IF(A6&lt;=Inputs!$B$21+Inputs!$B$5,0,D6*Inputs!$B$18/1000000))</f>
        <v>0</v>
      </c>
      <c r="F6" s="13" t="n">
        <f aca="false">IF(OR(A6&lt;=Inputs!$B$21,A6&gt;Inputs!$B$21+Configurations!$C$15),0,IF(A6&lt;=Inputs!$B$21+Inputs!$B$5,Configurations!$C$13,Configurations!$C$12+Configurations!$C$13+Inputs!$B$20*E6))</f>
        <v>0</v>
      </c>
      <c r="G6" s="13" t="n">
        <f aca="false">E6-F6</f>
        <v>0</v>
      </c>
      <c r="H6" s="21" t="n">
        <f aca="false">IF(AND(A6&gt;Inputs!$B$21,A6&lt;=Inputs!$B$21+Inputs!$B$12),Capitalization!D$12,0)</f>
        <v>0</v>
      </c>
      <c r="I6" s="13" t="n">
        <f aca="false">G6-H6</f>
        <v>0</v>
      </c>
      <c r="J6" s="22" t="str">
        <f aca="false">IF(A6&lt;=Inputs!$B$21,"",IF(AND(A6&lt;=Inputs!$B$22,Capitalization!D$18&gt;0),Inputs!$B$25,Inputs!$B$26))</f>
        <v/>
      </c>
      <c r="K6" s="13" t="n">
        <f aca="false">IF(A6=0,-Capitalization!D$19,IF(A6&lt;=Inputs!$B$21,0,I6*J6-IF(AND(A6=Inputs!$B$22,Capitalization!D$18&gt;0),Inputs!$B$23,0)))</f>
        <v>0</v>
      </c>
      <c r="L6" s="23" t="str">
        <f aca="false">IF(H6&gt;0,G6/H6,"")</f>
        <v/>
      </c>
      <c r="M6" s="13" t="n">
        <f aca="false">IF(A6=0,-Capitalization!D$4,IF(A6&lt;=Inputs!$B$21,0,G6))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IF(A7=0,"Equity",IF(A7&lt;=Inputs!$B$21,"Construction",IF(A7&lt;=Inputs!$B$21+Inputs!$B$5,"Queue wait",IF(A7&lt;=Inputs!$B$21+Configurations!$C$15,"Grid ops","—"))))</f>
        <v>Construction</v>
      </c>
      <c r="C7" s="4" t="str">
        <f aca="false">IF(A7&lt;=Inputs!$B$21,"",A7-Inputs!$B$21-1)</f>
        <v/>
      </c>
      <c r="D7" s="14" t="n">
        <f aca="false">IF(OR(A7&lt;=Inputs!$B$21,A7&gt;Inputs!$B$21+Configurations!$C$15),0,Configurations!$C$4*Configurations!$C$5*8760*(1-Configurations!$C$6)^C7*Configurations!$C$7*(1-Configurations!$C$8))</f>
        <v>0</v>
      </c>
      <c r="E7" s="13" t="n">
        <f aca="false">IF(OR(A7&lt;=Inputs!$B$21,A7&gt;Inputs!$B$21+Configurations!$C$15),0,IF(A7&lt;=Inputs!$B$21+Inputs!$B$5,0,D7*Inputs!$B$18/1000000))</f>
        <v>0</v>
      </c>
      <c r="F7" s="13" t="n">
        <f aca="false">IF(OR(A7&lt;=Inputs!$B$21,A7&gt;Inputs!$B$21+Configurations!$C$15),0,IF(A7&lt;=Inputs!$B$21+Inputs!$B$5,Configurations!$C$13,Configurations!$C$12+Configurations!$C$13+Inputs!$B$20*E7))</f>
        <v>0</v>
      </c>
      <c r="G7" s="13" t="n">
        <f aca="false">E7-F7</f>
        <v>0</v>
      </c>
      <c r="H7" s="21" t="n">
        <f aca="false">IF(AND(A7&gt;Inputs!$B$21,A7&lt;=Inputs!$B$21+Inputs!$B$12),Capitalization!D$12,0)</f>
        <v>0</v>
      </c>
      <c r="I7" s="13" t="n">
        <f aca="false">G7-H7</f>
        <v>0</v>
      </c>
      <c r="J7" s="22" t="str">
        <f aca="false">IF(A7&lt;=Inputs!$B$21,"",IF(AND(A7&lt;=Inputs!$B$22,Capitalization!D$18&gt;0),Inputs!$B$25,Inputs!$B$26))</f>
        <v/>
      </c>
      <c r="K7" s="13" t="n">
        <f aca="false">IF(A7=0,-Capitalization!D$19,IF(A7&lt;=Inputs!$B$21,0,I7*J7-IF(AND(A7=Inputs!$B$22,Capitalization!D$18&gt;0),Inputs!$B$23,0)))</f>
        <v>0</v>
      </c>
      <c r="L7" s="23" t="str">
        <f aca="false">IF(H7&gt;0,G7/H7,"")</f>
        <v/>
      </c>
      <c r="M7" s="13" t="n">
        <f aca="false">IF(A7=0,-Capitalization!D$4,IF(A7&lt;=Inputs!$B$21,0,G7))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IF(A8=0,"Equity",IF(A8&lt;=Inputs!$B$21,"Construction",IF(A8&lt;=Inputs!$B$21+Inputs!$B$5,"Queue wait",IF(A8&lt;=Inputs!$B$21+Configurations!$C$15,"Grid ops","—"))))</f>
        <v>Queue wait</v>
      </c>
      <c r="C8" s="4" t="n">
        <f aca="false">IF(A8&lt;=Inputs!$B$21,"",A8-Inputs!$B$21-1)</f>
        <v>0</v>
      </c>
      <c r="D8" s="14" t="n">
        <f aca="false">IF(OR(A8&lt;=Inputs!$B$21,A8&gt;Inputs!$B$21+Configurations!$C$15),0,Configurations!$C$4*Configurations!$C$5*8760*(1-Configurations!$C$6)^C8*Configurations!$C$7*(1-Configurations!$C$8))</f>
        <v>430466.4</v>
      </c>
      <c r="E8" s="13" t="n">
        <f aca="false">IF(OR(A8&lt;=Inputs!$B$21,A8&gt;Inputs!$B$21+Configurations!$C$15),0,IF(A8&lt;=Inputs!$B$21+Inputs!$B$5,0,D8*Inputs!$B$18/1000000))</f>
        <v>0</v>
      </c>
      <c r="F8" s="13" t="n">
        <f aca="false">IF(OR(A8&lt;=Inputs!$B$21,A8&gt;Inputs!$B$21+Configurations!$C$15),0,IF(A8&lt;=Inputs!$B$21+Inputs!$B$5,Configurations!$C$13,Configurations!$C$12+Configurations!$C$13+Inputs!$B$20*E8))</f>
        <v>1.586</v>
      </c>
      <c r="G8" s="13" t="n">
        <f aca="false">E8-F8</f>
        <v>-1.586</v>
      </c>
      <c r="H8" s="21" t="n">
        <f aca="false">IF(AND(A8&gt;Inputs!$B$21,A8&lt;=Inputs!$B$21+Inputs!$B$12),Capitalization!D$12,0)</f>
        <v>14.7919951702751</v>
      </c>
      <c r="I8" s="13" t="n">
        <f aca="false">G8-H8</f>
        <v>-16.3779951702751</v>
      </c>
      <c r="J8" s="22" t="n">
        <f aca="false">IF(A8&lt;=Inputs!$B$21,"",IF(AND(A8&lt;=Inputs!$B$22,Capitalization!D$18&gt;0),Inputs!$B$25,Inputs!$B$26))</f>
        <v>0.7</v>
      </c>
      <c r="K8" s="13" t="n">
        <f aca="false">IF(A8=0,-Capitalization!D$19,IF(A8&lt;=Inputs!$B$21,0,I8*J8-IF(AND(A8=Inputs!$B$22,Capitalization!D$18&gt;0),Inputs!$B$23,0)))</f>
        <v>-11.4645966191926</v>
      </c>
      <c r="L8" s="23" t="n">
        <f aca="false">IF(H8&gt;0,G8/H8,"")</f>
        <v>-0.107220153991606</v>
      </c>
      <c r="M8" s="13" t="n">
        <f aca="false">IF(A8=0,-Capitalization!D$4,IF(A8&lt;=Inputs!$B$21,0,G8))</f>
        <v>-1.586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IF(A9=0,"Equity",IF(A9&lt;=Inputs!$B$21,"Construction",IF(A9&lt;=Inputs!$B$21+Inputs!$B$5,"Queue wait",IF(A9&lt;=Inputs!$B$21+Configurations!$C$15,"Grid ops","—"))))</f>
        <v>Queue wait</v>
      </c>
      <c r="C9" s="4" t="n">
        <f aca="false">IF(A9&lt;=Inputs!$B$21,"",A9-Inputs!$B$21-1)</f>
        <v>1</v>
      </c>
      <c r="D9" s="14" t="n">
        <f aca="false">IF(OR(A9&lt;=Inputs!$B$21,A9&gt;Inputs!$B$21+Configurations!$C$15),0,Configurations!$C$4*Configurations!$C$5*8760*(1-Configurations!$C$6)^C9*Configurations!$C$7*(1-Configurations!$C$8))</f>
        <v>429605.4672</v>
      </c>
      <c r="E9" s="13" t="n">
        <f aca="false">IF(OR(A9&lt;=Inputs!$B$21,A9&gt;Inputs!$B$21+Configurations!$C$15),0,IF(A9&lt;=Inputs!$B$21+Inputs!$B$5,0,D9*Inputs!$B$18/1000000))</f>
        <v>0</v>
      </c>
      <c r="F9" s="13" t="n">
        <f aca="false">IF(OR(A9&lt;=Inputs!$B$21,A9&gt;Inputs!$B$21+Configurations!$C$15),0,IF(A9&lt;=Inputs!$B$21+Inputs!$B$5,Configurations!$C$13,Configurations!$C$12+Configurations!$C$13+Inputs!$B$20*E9))</f>
        <v>1.586</v>
      </c>
      <c r="G9" s="13" t="n">
        <f aca="false">E9-F9</f>
        <v>-1.586</v>
      </c>
      <c r="H9" s="21" t="n">
        <f aca="false">IF(AND(A9&gt;Inputs!$B$21,A9&lt;=Inputs!$B$21+Inputs!$B$12),Capitalization!D$12,0)</f>
        <v>14.7919951702751</v>
      </c>
      <c r="I9" s="13" t="n">
        <f aca="false">G9-H9</f>
        <v>-16.3779951702751</v>
      </c>
      <c r="J9" s="22" t="n">
        <f aca="false">IF(A9&lt;=Inputs!$B$21,"",IF(AND(A9&lt;=Inputs!$B$22,Capitalization!D$18&gt;0),Inputs!$B$25,Inputs!$B$26))</f>
        <v>0.7</v>
      </c>
      <c r="K9" s="13" t="n">
        <f aca="false">IF(A9=0,-Capitalization!D$19,IF(A9&lt;=Inputs!$B$21,0,I9*J9-IF(AND(A9=Inputs!$B$22,Capitalization!D$18&gt;0),Inputs!$B$23,0)))</f>
        <v>-11.4645966191926</v>
      </c>
      <c r="L9" s="23" t="n">
        <f aca="false">IF(H9&gt;0,G9/H9,"")</f>
        <v>-0.107220153991606</v>
      </c>
      <c r="M9" s="13" t="n">
        <f aca="false">IF(A9=0,-Capitalization!D$4,IF(A9&lt;=Inputs!$B$21,0,G9))</f>
        <v>-1.586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IF(A10=0,"Equity",IF(A10&lt;=Inputs!$B$21,"Construction",IF(A10&lt;=Inputs!$B$21+Inputs!$B$5,"Queue wait",IF(A10&lt;=Inputs!$B$21+Configurations!$C$15,"Grid ops","—"))))</f>
        <v>Queue wait</v>
      </c>
      <c r="C10" s="4" t="n">
        <f aca="false">IF(A10&lt;=Inputs!$B$21,"",A10-Inputs!$B$21-1)</f>
        <v>2</v>
      </c>
      <c r="D10" s="14" t="n">
        <f aca="false">IF(OR(A10&lt;=Inputs!$B$21,A10&gt;Inputs!$B$21+Configurations!$C$15),0,Configurations!$C$4*Configurations!$C$5*8760*(1-Configurations!$C$6)^C10*Configurations!$C$7*(1-Configurations!$C$8))</f>
        <v>428746.2562656</v>
      </c>
      <c r="E10" s="13" t="n">
        <f aca="false">IF(OR(A10&lt;=Inputs!$B$21,A10&gt;Inputs!$B$21+Configurations!$C$15),0,IF(A10&lt;=Inputs!$B$21+Inputs!$B$5,0,D10*Inputs!$B$18/1000000))</f>
        <v>0</v>
      </c>
      <c r="F10" s="13" t="n">
        <f aca="false">IF(OR(A10&lt;=Inputs!$B$21,A10&gt;Inputs!$B$21+Configurations!$C$15),0,IF(A10&lt;=Inputs!$B$21+Inputs!$B$5,Configurations!$C$13,Configurations!$C$12+Configurations!$C$13+Inputs!$B$20*E10))</f>
        <v>1.586</v>
      </c>
      <c r="G10" s="13" t="n">
        <f aca="false">E10-F10</f>
        <v>-1.586</v>
      </c>
      <c r="H10" s="21" t="n">
        <f aca="false">IF(AND(A10&gt;Inputs!$B$21,A10&lt;=Inputs!$B$21+Inputs!$B$12),Capitalization!D$12,0)</f>
        <v>14.7919951702751</v>
      </c>
      <c r="I10" s="13" t="n">
        <f aca="false">G10-H10</f>
        <v>-16.3779951702751</v>
      </c>
      <c r="J10" s="22" t="n">
        <f aca="false">IF(A10&lt;=Inputs!$B$21,"",IF(AND(A10&lt;=Inputs!$B$22,Capitalization!D$18&gt;0),Inputs!$B$25,Inputs!$B$26))</f>
        <v>0.7</v>
      </c>
      <c r="K10" s="13" t="n">
        <f aca="false">IF(A10=0,-Capitalization!D$19,IF(A10&lt;=Inputs!$B$21,0,I10*J10-IF(AND(A10=Inputs!$B$22,Capitalization!D$18&gt;0),Inputs!$B$23,0)))</f>
        <v>-11.4645966191926</v>
      </c>
      <c r="L10" s="23" t="n">
        <f aca="false">IF(H10&gt;0,G10/H10,"")</f>
        <v>-0.107220153991606</v>
      </c>
      <c r="M10" s="13" t="n">
        <f aca="false">IF(A10=0,-Capitalization!D$4,IF(A10&lt;=Inputs!$B$21,0,G10))</f>
        <v>-1.586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IF(A11=0,"Equity",IF(A11&lt;=Inputs!$B$21,"Construction",IF(A11&lt;=Inputs!$B$21+Inputs!$B$5,"Queue wait",IF(A11&lt;=Inputs!$B$21+Configurations!$C$15,"Grid ops","—"))))</f>
        <v>Queue wait</v>
      </c>
      <c r="C11" s="4" t="n">
        <f aca="false">IF(A11&lt;=Inputs!$B$21,"",A11-Inputs!$B$21-1)</f>
        <v>3</v>
      </c>
      <c r="D11" s="14" t="n">
        <f aca="false">IF(OR(A11&lt;=Inputs!$B$21,A11&gt;Inputs!$B$21+Configurations!$C$15),0,Configurations!$C$4*Configurations!$C$5*8760*(1-Configurations!$C$6)^C11*Configurations!$C$7*(1-Configurations!$C$8))</f>
        <v>427888.763753069</v>
      </c>
      <c r="E11" s="13" t="n">
        <f aca="false">IF(OR(A11&lt;=Inputs!$B$21,A11&gt;Inputs!$B$21+Configurations!$C$15),0,IF(A11&lt;=Inputs!$B$21+Inputs!$B$5,0,D11*Inputs!$B$18/1000000))</f>
        <v>0</v>
      </c>
      <c r="F11" s="13" t="n">
        <f aca="false">IF(OR(A11&lt;=Inputs!$B$21,A11&gt;Inputs!$B$21+Configurations!$C$15),0,IF(A11&lt;=Inputs!$B$21+Inputs!$B$5,Configurations!$C$13,Configurations!$C$12+Configurations!$C$13+Inputs!$B$20*E11))</f>
        <v>1.586</v>
      </c>
      <c r="G11" s="13" t="n">
        <f aca="false">E11-F11</f>
        <v>-1.586</v>
      </c>
      <c r="H11" s="21" t="n">
        <f aca="false">IF(AND(A11&gt;Inputs!$B$21,A11&lt;=Inputs!$B$21+Inputs!$B$12),Capitalization!D$12,0)</f>
        <v>14.7919951702751</v>
      </c>
      <c r="I11" s="13" t="n">
        <f aca="false">G11-H11</f>
        <v>-16.3779951702751</v>
      </c>
      <c r="J11" s="22" t="n">
        <f aca="false">IF(A11&lt;=Inputs!$B$21,"",IF(AND(A11&lt;=Inputs!$B$22,Capitalization!D$18&gt;0),Inputs!$B$25,Inputs!$B$26))</f>
        <v>0.7</v>
      </c>
      <c r="K11" s="13" t="n">
        <f aca="false">IF(A11=0,-Capitalization!D$19,IF(A11&lt;=Inputs!$B$21,0,I11*J11-IF(AND(A11=Inputs!$B$22,Capitalization!D$18&gt;0),Inputs!$B$23,0)))</f>
        <v>-12.4645966191926</v>
      </c>
      <c r="L11" s="23" t="n">
        <f aca="false">IF(H11&gt;0,G11/H11,"")</f>
        <v>-0.107220153991606</v>
      </c>
      <c r="M11" s="13" t="n">
        <f aca="false">IF(A11=0,-Capitalization!D$4,IF(A11&lt;=Inputs!$B$21,0,G11))</f>
        <v>-1.586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IF(A12=0,"Equity",IF(A12&lt;=Inputs!$B$21,"Construction",IF(A12&lt;=Inputs!$B$21+Inputs!$B$5,"Queue wait",IF(A12&lt;=Inputs!$B$21+Configurations!$C$15,"Grid ops","—"))))</f>
        <v>Grid ops</v>
      </c>
      <c r="C12" s="4" t="n">
        <f aca="false">IF(A12&lt;=Inputs!$B$21,"",A12-Inputs!$B$21-1)</f>
        <v>4</v>
      </c>
      <c r="D12" s="14" t="n">
        <f aca="false">IF(OR(A12&lt;=Inputs!$B$21,A12&gt;Inputs!$B$21+Configurations!$C$15),0,Configurations!$C$4*Configurations!$C$5*8760*(1-Configurations!$C$6)^C12*Configurations!$C$7*(1-Configurations!$C$8))</f>
        <v>427032.986225563</v>
      </c>
      <c r="E12" s="13" t="n">
        <f aca="false">IF(OR(A12&lt;=Inputs!$B$21,A12&gt;Inputs!$B$21+Configurations!$C$15),0,IF(A12&lt;=Inputs!$B$21+Inputs!$B$5,0,D12*Inputs!$B$18/1000000))</f>
        <v>30.7463750082405</v>
      </c>
      <c r="F12" s="13" t="n">
        <f aca="false">IF(OR(A12&lt;=Inputs!$B$21,A12&gt;Inputs!$B$21+Configurations!$C$15),0,IF(A12&lt;=Inputs!$B$21+Inputs!$B$5,Configurations!$C$13,Configurations!$C$12+Configurations!$C$13+Inputs!$B$20*E12))</f>
        <v>8.42219562512361</v>
      </c>
      <c r="G12" s="13" t="n">
        <f aca="false">E12-F12</f>
        <v>22.3241793831169</v>
      </c>
      <c r="H12" s="21" t="n">
        <f aca="false">IF(AND(A12&gt;Inputs!$B$21,A12&lt;=Inputs!$B$21+Inputs!$B$12),Capitalization!D$12,0)</f>
        <v>14.7919951702751</v>
      </c>
      <c r="I12" s="13" t="n">
        <f aca="false">G12-H12</f>
        <v>7.53218421284175</v>
      </c>
      <c r="J12" s="22" t="n">
        <f aca="false">IF(A12&lt;=Inputs!$B$21,"",IF(AND(A12&lt;=Inputs!$B$22,Capitalization!D$18&gt;0),Inputs!$B$25,Inputs!$B$26))</f>
        <v>0.975</v>
      </c>
      <c r="K12" s="13" t="n">
        <f aca="false">IF(A12=0,-Capitalization!D$19,IF(A12&lt;=Inputs!$B$21,0,I12*J12-IF(AND(A12=Inputs!$B$22,Capitalization!D$18&gt;0),Inputs!$B$23,0)))</f>
        <v>7.34387960752071</v>
      </c>
      <c r="L12" s="23" t="n">
        <f aca="false">IF(H12&gt;0,G12/H12,"")</f>
        <v>1.50920677881087</v>
      </c>
      <c r="M12" s="13" t="n">
        <f aca="false">IF(A12=0,-Capitalization!D$4,IF(A12&lt;=Inputs!$B$21,0,G12))</f>
        <v>22.3241793831169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IF(A13=0,"Equity",IF(A13&lt;=Inputs!$B$21,"Construction",IF(A13&lt;=Inputs!$B$21+Inputs!$B$5,"Queue wait",IF(A13&lt;=Inputs!$B$21+Configurations!$C$15,"Grid ops","—"))))</f>
        <v>Grid ops</v>
      </c>
      <c r="C13" s="4" t="n">
        <f aca="false">IF(A13&lt;=Inputs!$B$21,"",A13-Inputs!$B$21-1)</f>
        <v>5</v>
      </c>
      <c r="D13" s="14" t="n">
        <f aca="false">IF(OR(A13&lt;=Inputs!$B$21,A13&gt;Inputs!$B$21+Configurations!$C$15),0,Configurations!$C$4*Configurations!$C$5*8760*(1-Configurations!$C$6)^C13*Configurations!$C$7*(1-Configurations!$C$8))</f>
        <v>426178.920253112</v>
      </c>
      <c r="E13" s="13" t="n">
        <f aca="false">IF(OR(A13&lt;=Inputs!$B$21,A13&gt;Inputs!$B$21+Configurations!$C$15),0,IF(A13&lt;=Inputs!$B$21+Inputs!$B$5,0,D13*Inputs!$B$18/1000000))</f>
        <v>30.684882258224</v>
      </c>
      <c r="F13" s="13" t="n">
        <f aca="false">IF(OR(A13&lt;=Inputs!$B$21,A13&gt;Inputs!$B$21+Configurations!$C$15),0,IF(A13&lt;=Inputs!$B$21+Inputs!$B$5,Configurations!$C$13,Configurations!$C$12+Configurations!$C$13+Inputs!$B$20*E13))</f>
        <v>8.42127323387336</v>
      </c>
      <c r="G13" s="13" t="n">
        <f aca="false">E13-F13</f>
        <v>22.2636090243507</v>
      </c>
      <c r="H13" s="21" t="n">
        <f aca="false">IF(AND(A13&gt;Inputs!$B$21,A13&lt;=Inputs!$B$21+Inputs!$B$12),Capitalization!D$12,0)</f>
        <v>14.7919951702751</v>
      </c>
      <c r="I13" s="13" t="n">
        <f aca="false">G13-H13</f>
        <v>7.47161385407552</v>
      </c>
      <c r="J13" s="22" t="n">
        <f aca="false">IF(A13&lt;=Inputs!$B$21,"",IF(AND(A13&lt;=Inputs!$B$22,Capitalization!D$18&gt;0),Inputs!$B$25,Inputs!$B$26))</f>
        <v>0.975</v>
      </c>
      <c r="K13" s="13" t="n">
        <f aca="false">IF(A13=0,-Capitalization!D$19,IF(A13&lt;=Inputs!$B$21,0,I13*J13-IF(AND(A13=Inputs!$B$22,Capitalization!D$18&gt;0),Inputs!$B$23,0)))</f>
        <v>7.28482350772363</v>
      </c>
      <c r="L13" s="23" t="n">
        <f aca="false">IF(H13&gt;0,G13/H13,"")</f>
        <v>1.50511197225712</v>
      </c>
      <c r="M13" s="13" t="n">
        <f aca="false">IF(A13=0,-Capitalization!D$4,IF(A13&lt;=Inputs!$B$21,0,G13))</f>
        <v>22.2636090243507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IF(A14=0,"Equity",IF(A14&lt;=Inputs!$B$21,"Construction",IF(A14&lt;=Inputs!$B$21+Inputs!$B$5,"Queue wait",IF(A14&lt;=Inputs!$B$21+Configurations!$C$15,"Grid ops","—"))))</f>
        <v>Grid ops</v>
      </c>
      <c r="C14" s="4" t="n">
        <f aca="false">IF(A14&lt;=Inputs!$B$21,"",A14-Inputs!$B$21-1)</f>
        <v>6</v>
      </c>
      <c r="D14" s="14" t="n">
        <f aca="false">IF(OR(A14&lt;=Inputs!$B$21,A14&gt;Inputs!$B$21+Configurations!$C$15),0,Configurations!$C$4*Configurations!$C$5*8760*(1-Configurations!$C$6)^C14*Configurations!$C$7*(1-Configurations!$C$8))</f>
        <v>425326.562412605</v>
      </c>
      <c r="E14" s="13" t="n">
        <f aca="false">IF(OR(A14&lt;=Inputs!$B$21,A14&gt;Inputs!$B$21+Configurations!$C$15),0,IF(A14&lt;=Inputs!$B$21+Inputs!$B$5,0,D14*Inputs!$B$18/1000000))</f>
        <v>30.6235124937076</v>
      </c>
      <c r="F14" s="13" t="n">
        <f aca="false">IF(OR(A14&lt;=Inputs!$B$21,A14&gt;Inputs!$B$21+Configurations!$C$15),0,IF(A14&lt;=Inputs!$B$21+Inputs!$B$5,Configurations!$C$13,Configurations!$C$12+Configurations!$C$13+Inputs!$B$20*E14))</f>
        <v>8.42035268740561</v>
      </c>
      <c r="G14" s="13" t="n">
        <f aca="false">E14-F14</f>
        <v>22.203159806302</v>
      </c>
      <c r="H14" s="21" t="n">
        <f aca="false">IF(AND(A14&gt;Inputs!$B$21,A14&lt;=Inputs!$B$21+Inputs!$B$12),Capitalization!D$12,0)</f>
        <v>14.7919951702751</v>
      </c>
      <c r="I14" s="13" t="n">
        <f aca="false">G14-H14</f>
        <v>7.41116463602682</v>
      </c>
      <c r="J14" s="22" t="n">
        <f aca="false">IF(A14&lt;=Inputs!$B$21,"",IF(AND(A14&lt;=Inputs!$B$22,Capitalization!D$18&gt;0),Inputs!$B$25,Inputs!$B$26))</f>
        <v>0.975</v>
      </c>
      <c r="K14" s="13" t="n">
        <f aca="false">IF(A14=0,-Capitalization!D$19,IF(A14&lt;=Inputs!$B$21,0,I14*J14-IF(AND(A14=Inputs!$B$22,Capitalization!D$18&gt;0),Inputs!$B$23,0)))</f>
        <v>7.22588552012615</v>
      </c>
      <c r="L14" s="23" t="n">
        <f aca="false">IF(H14&gt;0,G14/H14,"")</f>
        <v>1.50102535531648</v>
      </c>
      <c r="M14" s="13" t="n">
        <f aca="false">IF(A14=0,-Capitalization!D$4,IF(A14&lt;=Inputs!$B$21,0,G14))</f>
        <v>22.203159806302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IF(A15=0,"Equity",IF(A15&lt;=Inputs!$B$21,"Construction",IF(A15&lt;=Inputs!$B$21+Inputs!$B$5,"Queue wait",IF(A15&lt;=Inputs!$B$21+Configurations!$C$15,"Grid ops","—"))))</f>
        <v>Grid ops</v>
      </c>
      <c r="C15" s="4" t="n">
        <f aca="false">IF(A15&lt;=Inputs!$B$21,"",A15-Inputs!$B$21-1)</f>
        <v>7</v>
      </c>
      <c r="D15" s="14" t="n">
        <f aca="false">IF(OR(A15&lt;=Inputs!$B$21,A15&gt;Inputs!$B$21+Configurations!$C$15),0,Configurations!$C$4*Configurations!$C$5*8760*(1-Configurations!$C$6)^C15*Configurations!$C$7*(1-Configurations!$C$8))</f>
        <v>424475.90928778</v>
      </c>
      <c r="E15" s="13" t="n">
        <f aca="false">IF(OR(A15&lt;=Inputs!$B$21,A15&gt;Inputs!$B$21+Configurations!$C$15),0,IF(A15&lt;=Inputs!$B$21+Inputs!$B$5,0,D15*Inputs!$B$18/1000000))</f>
        <v>30.5622654687202</v>
      </c>
      <c r="F15" s="13" t="n">
        <f aca="false">IF(OR(A15&lt;=Inputs!$B$21,A15&gt;Inputs!$B$21+Configurations!$C$15),0,IF(A15&lt;=Inputs!$B$21+Inputs!$B$5,Configurations!$C$13,Configurations!$C$12+Configurations!$C$13+Inputs!$B$20*E15))</f>
        <v>8.4194339820308</v>
      </c>
      <c r="G15" s="13" t="n">
        <f aca="false">E15-F15</f>
        <v>22.1428314866894</v>
      </c>
      <c r="H15" s="21" t="n">
        <f aca="false">IF(AND(A15&gt;Inputs!$B$21,A15&lt;=Inputs!$B$21+Inputs!$B$12),Capitalization!D$12,0)</f>
        <v>14.7919951702751</v>
      </c>
      <c r="I15" s="13" t="n">
        <f aca="false">G15-H15</f>
        <v>7.35083631641421</v>
      </c>
      <c r="J15" s="22" t="n">
        <f aca="false">IF(A15&lt;=Inputs!$B$21,"",IF(AND(A15&lt;=Inputs!$B$22,Capitalization!D$18&gt;0),Inputs!$B$25,Inputs!$B$26))</f>
        <v>0.975</v>
      </c>
      <c r="K15" s="13" t="n">
        <f aca="false">IF(A15=0,-Capitalization!D$19,IF(A15&lt;=Inputs!$B$21,0,I15*J15-IF(AND(A15=Inputs!$B$22,Capitalization!D$18&gt;0),Inputs!$B$23,0)))</f>
        <v>7.16706540850386</v>
      </c>
      <c r="L15" s="23" t="n">
        <f aca="false">IF(H15&gt;0,G15/H15,"")</f>
        <v>1.49694691160973</v>
      </c>
      <c r="M15" s="13" t="n">
        <f aca="false">IF(A15=0,-Capitalization!D$4,IF(A15&lt;=Inputs!$B$21,0,G15))</f>
        <v>22.1428314866894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IF(A16=0,"Equity",IF(A16&lt;=Inputs!$B$21,"Construction",IF(A16&lt;=Inputs!$B$21+Inputs!$B$5,"Queue wait",IF(A16&lt;=Inputs!$B$21+Configurations!$C$15,"Grid ops","—"))))</f>
        <v>Grid ops</v>
      </c>
      <c r="C16" s="4" t="n">
        <f aca="false">IF(A16&lt;=Inputs!$B$21,"",A16-Inputs!$B$21-1)</f>
        <v>8</v>
      </c>
      <c r="D16" s="14" t="n">
        <f aca="false">IF(OR(A16&lt;=Inputs!$B$21,A16&gt;Inputs!$B$21+Configurations!$C$15),0,Configurations!$C$4*Configurations!$C$5*8760*(1-Configurations!$C$6)^C16*Configurations!$C$7*(1-Configurations!$C$8))</f>
        <v>423626.957469205</v>
      </c>
      <c r="E16" s="13" t="n">
        <f aca="false">IF(OR(A16&lt;=Inputs!$B$21,A16&gt;Inputs!$B$21+Configurations!$C$15),0,IF(A16&lt;=Inputs!$B$21+Inputs!$B$5,0,D16*Inputs!$B$18/1000000))</f>
        <v>30.5011409377827</v>
      </c>
      <c r="F16" s="13" t="n">
        <f aca="false">IF(OR(A16&lt;=Inputs!$B$21,A16&gt;Inputs!$B$21+Configurations!$C$15),0,IF(A16&lt;=Inputs!$B$21+Inputs!$B$5,Configurations!$C$13,Configurations!$C$12+Configurations!$C$13+Inputs!$B$20*E16))</f>
        <v>8.41851711406674</v>
      </c>
      <c r="G16" s="13" t="n">
        <f aca="false">E16-F16</f>
        <v>22.082623823716</v>
      </c>
      <c r="H16" s="21" t="n">
        <f aca="false">IF(AND(A16&gt;Inputs!$B$21,A16&lt;=Inputs!$B$21+Inputs!$B$12),Capitalization!D$12,0)</f>
        <v>14.7919951702751</v>
      </c>
      <c r="I16" s="13" t="n">
        <f aca="false">G16-H16</f>
        <v>7.29062865344084</v>
      </c>
      <c r="J16" s="22" t="n">
        <f aca="false">IF(A16&lt;=Inputs!$B$21,"",IF(AND(A16&lt;=Inputs!$B$22,Capitalization!D$18&gt;0),Inputs!$B$25,Inputs!$B$26))</f>
        <v>0.975</v>
      </c>
      <c r="K16" s="13" t="n">
        <f aca="false">IF(A16=0,-Capitalization!D$19,IF(A16&lt;=Inputs!$B$21,0,I16*J16-IF(AND(A16=Inputs!$B$22,Capitalization!D$18&gt;0),Inputs!$B$23,0)))</f>
        <v>7.10836293710482</v>
      </c>
      <c r="L16" s="23" t="n">
        <f aca="false">IF(H16&gt;0,G16/H16,"")</f>
        <v>1.49287662479038</v>
      </c>
      <c r="M16" s="13" t="n">
        <f aca="false">IF(A16=0,-Capitalization!D$4,IF(A16&lt;=Inputs!$B$21,0,G16))</f>
        <v>22.082623823716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IF(A17=0,"Equity",IF(A17&lt;=Inputs!$B$21,"Construction",IF(A17&lt;=Inputs!$B$21+Inputs!$B$5,"Queue wait",IF(A17&lt;=Inputs!$B$21+Configurations!$C$15,"Grid ops","—"))))</f>
        <v>Grid ops</v>
      </c>
      <c r="C17" s="4" t="n">
        <f aca="false">IF(A17&lt;=Inputs!$B$21,"",A17-Inputs!$B$21-1)</f>
        <v>9</v>
      </c>
      <c r="D17" s="14" t="n">
        <f aca="false">IF(OR(A17&lt;=Inputs!$B$21,A17&gt;Inputs!$B$21+Configurations!$C$15),0,Configurations!$C$4*Configurations!$C$5*8760*(1-Configurations!$C$6)^C17*Configurations!$C$7*(1-Configurations!$C$8))</f>
        <v>422779.703554266</v>
      </c>
      <c r="E17" s="13" t="n">
        <f aca="false">IF(OR(A17&lt;=Inputs!$B$21,A17&gt;Inputs!$B$21+Configurations!$C$15),0,IF(A17&lt;=Inputs!$B$21+Inputs!$B$5,0,D17*Inputs!$B$18/1000000))</f>
        <v>30.4401386559072</v>
      </c>
      <c r="F17" s="13" t="n">
        <f aca="false">IF(OR(A17&lt;=Inputs!$B$21,A17&gt;Inputs!$B$21+Configurations!$C$15),0,IF(A17&lt;=Inputs!$B$21+Inputs!$B$5,Configurations!$C$13,Configurations!$C$12+Configurations!$C$13+Inputs!$B$20*E17))</f>
        <v>8.41760207983861</v>
      </c>
      <c r="G17" s="13" t="n">
        <f aca="false">E17-F17</f>
        <v>22.0225365760686</v>
      </c>
      <c r="H17" s="21" t="n">
        <f aca="false">IF(AND(A17&gt;Inputs!$B$21,A17&lt;=Inputs!$B$21+Inputs!$B$12),Capitalization!D$12,0)</f>
        <v>14.7919951702751</v>
      </c>
      <c r="I17" s="13" t="n">
        <f aca="false">G17-H17</f>
        <v>7.23054140579341</v>
      </c>
      <c r="J17" s="22" t="n">
        <f aca="false">IF(A17&lt;=Inputs!$B$21,"",IF(AND(A17&lt;=Inputs!$B$22,Capitalization!D$18&gt;0),Inputs!$B$25,Inputs!$B$26))</f>
        <v>0.975</v>
      </c>
      <c r="K17" s="13" t="n">
        <f aca="false">IF(A17=0,-Capitalization!D$19,IF(A17&lt;=Inputs!$B$21,0,I17*J17-IF(AND(A17=Inputs!$B$22,Capitalization!D$18&gt;0),Inputs!$B$23,0)))</f>
        <v>7.04977787064857</v>
      </c>
      <c r="L17" s="23" t="n">
        <f aca="false">IF(H17&gt;0,G17/H17,"")</f>
        <v>1.48881447854468</v>
      </c>
      <c r="M17" s="13" t="n">
        <f aca="false">IF(A17=0,-Capitalization!D$4,IF(A17&lt;=Inputs!$B$21,0,G17))</f>
        <v>22.0225365760686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IF(A18=0,"Equity",IF(A18&lt;=Inputs!$B$21,"Construction",IF(A18&lt;=Inputs!$B$21+Inputs!$B$5,"Queue wait",IF(A18&lt;=Inputs!$B$21+Configurations!$C$15,"Grid ops","—"))))</f>
        <v>Grid ops</v>
      </c>
      <c r="C18" s="4" t="n">
        <f aca="false">IF(A18&lt;=Inputs!$B$21,"",A18-Inputs!$B$21-1)</f>
        <v>10</v>
      </c>
      <c r="D18" s="14" t="n">
        <f aca="false">IF(OR(A18&lt;=Inputs!$B$21,A18&gt;Inputs!$B$21+Configurations!$C$15),0,Configurations!$C$4*Configurations!$C$5*8760*(1-Configurations!$C$6)^C18*Configurations!$C$7*(1-Configurations!$C$8))</f>
        <v>421934.144147158</v>
      </c>
      <c r="E18" s="13" t="n">
        <f aca="false">IF(OR(A18&lt;=Inputs!$B$21,A18&gt;Inputs!$B$21+Configurations!$C$15),0,IF(A18&lt;=Inputs!$B$21+Inputs!$B$5,0,D18*Inputs!$B$18/1000000))</f>
        <v>30.3792583785953</v>
      </c>
      <c r="F18" s="13" t="n">
        <f aca="false">IF(OR(A18&lt;=Inputs!$B$21,A18&gt;Inputs!$B$21+Configurations!$C$15),0,IF(A18&lt;=Inputs!$B$21+Inputs!$B$5,Configurations!$C$13,Configurations!$C$12+Configurations!$C$13+Inputs!$B$20*E18))</f>
        <v>8.41668887567893</v>
      </c>
      <c r="G18" s="13" t="n">
        <f aca="false">E18-F18</f>
        <v>21.9625695029164</v>
      </c>
      <c r="H18" s="21" t="n">
        <f aca="false">IF(AND(A18&gt;Inputs!$B$21,A18&lt;=Inputs!$B$21+Inputs!$B$12),Capitalization!D$12,0)</f>
        <v>14.7919951702751</v>
      </c>
      <c r="I18" s="13" t="n">
        <f aca="false">G18-H18</f>
        <v>7.17057433264127</v>
      </c>
      <c r="J18" s="22" t="n">
        <f aca="false">IF(A18&lt;=Inputs!$B$21,"",IF(AND(A18&lt;=Inputs!$B$22,Capitalization!D$18&gt;0),Inputs!$B$25,Inputs!$B$26))</f>
        <v>0.975</v>
      </c>
      <c r="K18" s="13" t="n">
        <f aca="false">IF(A18=0,-Capitalization!D$19,IF(A18&lt;=Inputs!$B$21,0,I18*J18-IF(AND(A18=Inputs!$B$22,Capitalization!D$18&gt;0),Inputs!$B$23,0)))</f>
        <v>6.99130997432524</v>
      </c>
      <c r="L18" s="23" t="n">
        <f aca="false">IF(H18&gt;0,G18/H18,"")</f>
        <v>1.48476045659146</v>
      </c>
      <c r="M18" s="13" t="n">
        <f aca="false">IF(A18=0,-Capitalization!D$4,IF(A18&lt;=Inputs!$B$21,0,G18))</f>
        <v>21.9625695029164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IF(A19=0,"Equity",IF(A19&lt;=Inputs!$B$21,"Construction",IF(A19&lt;=Inputs!$B$21+Inputs!$B$5,"Queue wait",IF(A19&lt;=Inputs!$B$21+Configurations!$C$15,"Grid ops","—"))))</f>
        <v>Grid ops</v>
      </c>
      <c r="C19" s="4" t="n">
        <f aca="false">IF(A19&lt;=Inputs!$B$21,"",A19-Inputs!$B$21-1)</f>
        <v>11</v>
      </c>
      <c r="D19" s="14" t="n">
        <f aca="false">IF(OR(A19&lt;=Inputs!$B$21,A19&gt;Inputs!$B$21+Configurations!$C$15),0,Configurations!$C$4*Configurations!$C$5*8760*(1-Configurations!$C$6)^C19*Configurations!$C$7*(1-Configurations!$C$8))</f>
        <v>421090.275858863</v>
      </c>
      <c r="E19" s="13" t="n">
        <f aca="false">IF(OR(A19&lt;=Inputs!$B$21,A19&gt;Inputs!$B$21+Configurations!$C$15),0,IF(A19&lt;=Inputs!$B$21+Inputs!$B$5,0,D19*Inputs!$B$18/1000000))</f>
        <v>30.3184998618382</v>
      </c>
      <c r="F19" s="13" t="n">
        <f aca="false">IF(OR(A19&lt;=Inputs!$B$21,A19&gt;Inputs!$B$21+Configurations!$C$15),0,IF(A19&lt;=Inputs!$B$21+Inputs!$B$5,Configurations!$C$13,Configurations!$C$12+Configurations!$C$13+Inputs!$B$20*E19))</f>
        <v>8.41577749792757</v>
      </c>
      <c r="G19" s="13" t="n">
        <f aca="false">E19-F19</f>
        <v>21.9027223639106</v>
      </c>
      <c r="H19" s="21" t="n">
        <f aca="false">IF(AND(A19&gt;Inputs!$B$21,A19&lt;=Inputs!$B$21+Inputs!$B$12),Capitalization!D$12,0)</f>
        <v>14.7919951702751</v>
      </c>
      <c r="I19" s="13" t="n">
        <f aca="false">G19-H19</f>
        <v>7.11072719363543</v>
      </c>
      <c r="J19" s="22" t="n">
        <f aca="false">IF(A19&lt;=Inputs!$B$21,"",IF(AND(A19&lt;=Inputs!$B$22,Capitalization!D$18&gt;0),Inputs!$B$25,Inputs!$B$26))</f>
        <v>0.975</v>
      </c>
      <c r="K19" s="13" t="n">
        <f aca="false">IF(A19=0,-Capitalization!D$19,IF(A19&lt;=Inputs!$B$21,0,I19*J19-IF(AND(A19=Inputs!$B$22,Capitalization!D$18&gt;0),Inputs!$B$23,0)))</f>
        <v>6.93295901379454</v>
      </c>
      <c r="L19" s="23" t="n">
        <f aca="false">IF(H19&gt;0,G19/H19,"")</f>
        <v>1.48071454268215</v>
      </c>
      <c r="M19" s="13" t="n">
        <f aca="false">IF(A19=0,-Capitalization!D$4,IF(A19&lt;=Inputs!$B$21,0,G19))</f>
        <v>21.9027223639106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IF(A20=0,"Equity",IF(A20&lt;=Inputs!$B$21,"Construction",IF(A20&lt;=Inputs!$B$21+Inputs!$B$5,"Queue wait",IF(A20&lt;=Inputs!$B$21+Configurations!$C$15,"Grid ops","—"))))</f>
        <v>Grid ops</v>
      </c>
      <c r="C20" s="4" t="n">
        <f aca="false">IF(A20&lt;=Inputs!$B$21,"",A20-Inputs!$B$21-1)</f>
        <v>12</v>
      </c>
      <c r="D20" s="14" t="n">
        <f aca="false">IF(OR(A20&lt;=Inputs!$B$21,A20&gt;Inputs!$B$21+Configurations!$C$15),0,Configurations!$C$4*Configurations!$C$5*8760*(1-Configurations!$C$6)^C20*Configurations!$C$7*(1-Configurations!$C$8))</f>
        <v>420248.095307146</v>
      </c>
      <c r="E20" s="13" t="n">
        <f aca="false">IF(OR(A20&lt;=Inputs!$B$21,A20&gt;Inputs!$B$21+Configurations!$C$15),0,IF(A20&lt;=Inputs!$B$21+Inputs!$B$5,0,D20*Inputs!$B$18/1000000))</f>
        <v>30.2578628621145</v>
      </c>
      <c r="F20" s="13" t="n">
        <f aca="false">IF(OR(A20&lt;=Inputs!$B$21,A20&gt;Inputs!$B$21+Configurations!$C$15),0,IF(A20&lt;=Inputs!$B$21+Inputs!$B$5,Configurations!$C$13,Configurations!$C$12+Configurations!$C$13+Inputs!$B$20*E20))</f>
        <v>8.41486794293172</v>
      </c>
      <c r="G20" s="13" t="n">
        <f aca="false">E20-F20</f>
        <v>21.8429949191828</v>
      </c>
      <c r="H20" s="21" t="n">
        <f aca="false">IF(AND(A20&gt;Inputs!$B$21,A20&lt;=Inputs!$B$21+Inputs!$B$12),Capitalization!D$12,0)</f>
        <v>14.7919951702751</v>
      </c>
      <c r="I20" s="13" t="n">
        <f aca="false">G20-H20</f>
        <v>7.05099974890762</v>
      </c>
      <c r="J20" s="22" t="n">
        <f aca="false">IF(A20&lt;=Inputs!$B$21,"",IF(AND(A20&lt;=Inputs!$B$22,Capitalization!D$18&gt;0),Inputs!$B$25,Inputs!$B$26))</f>
        <v>0.975</v>
      </c>
      <c r="K20" s="13" t="n">
        <f aca="false">IF(A20=0,-Capitalization!D$19,IF(A20&lt;=Inputs!$B$21,0,I20*J20-IF(AND(A20=Inputs!$B$22,Capitalization!D$18&gt;0),Inputs!$B$23,0)))</f>
        <v>6.87472475518493</v>
      </c>
      <c r="L20" s="23" t="n">
        <f aca="false">IF(H20&gt;0,G20/H20,"")</f>
        <v>1.47667672060066</v>
      </c>
      <c r="M20" s="13" t="n">
        <f aca="false">IF(A20=0,-Capitalization!D$4,IF(A20&lt;=Inputs!$B$21,0,G20))</f>
        <v>21.8429949191828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IF(A21=0,"Equity",IF(A21&lt;=Inputs!$B$21,"Construction",IF(A21&lt;=Inputs!$B$21+Inputs!$B$5,"Queue wait",IF(A21&lt;=Inputs!$B$21+Configurations!$C$15,"Grid ops","—"))))</f>
        <v>Grid ops</v>
      </c>
      <c r="C21" s="4" t="n">
        <f aca="false">IF(A21&lt;=Inputs!$B$21,"",A21-Inputs!$B$21-1)</f>
        <v>13</v>
      </c>
      <c r="D21" s="14" t="n">
        <f aca="false">IF(OR(A21&lt;=Inputs!$B$21,A21&gt;Inputs!$B$21+Configurations!$C$15),0,Configurations!$C$4*Configurations!$C$5*8760*(1-Configurations!$C$6)^C21*Configurations!$C$7*(1-Configurations!$C$8))</f>
        <v>419407.599116531</v>
      </c>
      <c r="E21" s="13" t="n">
        <f aca="false">IF(OR(A21&lt;=Inputs!$B$21,A21&gt;Inputs!$B$21+Configurations!$C$15),0,IF(A21&lt;=Inputs!$B$21+Inputs!$B$5,0,D21*Inputs!$B$18/1000000))</f>
        <v>30.1973471363903</v>
      </c>
      <c r="F21" s="13" t="n">
        <f aca="false">IF(OR(A21&lt;=Inputs!$B$21,A21&gt;Inputs!$B$21+Configurations!$C$15),0,IF(A21&lt;=Inputs!$B$21+Inputs!$B$5,Configurations!$C$13,Configurations!$C$12+Configurations!$C$13+Inputs!$B$20*E21))</f>
        <v>8.41396020704585</v>
      </c>
      <c r="G21" s="13" t="n">
        <f aca="false">E21-F21</f>
        <v>21.7833869293444</v>
      </c>
      <c r="H21" s="21" t="n">
        <f aca="false">IF(AND(A21&gt;Inputs!$B$21,A21&lt;=Inputs!$B$21+Inputs!$B$12),Capitalization!D$12,0)</f>
        <v>14.7919951702751</v>
      </c>
      <c r="I21" s="13" t="n">
        <f aca="false">G21-H21</f>
        <v>6.99139175906925</v>
      </c>
      <c r="J21" s="22" t="n">
        <f aca="false">IF(A21&lt;=Inputs!$B$21,"",IF(AND(A21&lt;=Inputs!$B$22,Capitalization!D$18&gt;0),Inputs!$B$25,Inputs!$B$26))</f>
        <v>0.975</v>
      </c>
      <c r="K21" s="13" t="n">
        <f aca="false">IF(A21=0,-Capitalization!D$19,IF(A21&lt;=Inputs!$B$21,0,I21*J21-IF(AND(A21=Inputs!$B$22,Capitalization!D$18&gt;0),Inputs!$B$23,0)))</f>
        <v>6.81660696509252</v>
      </c>
      <c r="L21" s="23" t="n">
        <f aca="false">IF(H21&gt;0,G21/H21,"")</f>
        <v>1.47264697416334</v>
      </c>
      <c r="M21" s="13" t="n">
        <f aca="false">IF(A21=0,-Capitalization!D$4,IF(A21&lt;=Inputs!$B$21,0,G21))</f>
        <v>21.7833869293444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IF(A22=0,"Equity",IF(A22&lt;=Inputs!$B$21,"Construction",IF(A22&lt;=Inputs!$B$21+Inputs!$B$5,"Queue wait",IF(A22&lt;=Inputs!$B$21+Configurations!$C$15,"Grid ops","—"))))</f>
        <v>Grid ops</v>
      </c>
      <c r="C22" s="4" t="n">
        <f aca="false">IF(A22&lt;=Inputs!$B$21,"",A22-Inputs!$B$21-1)</f>
        <v>14</v>
      </c>
      <c r="D22" s="14" t="n">
        <f aca="false">IF(OR(A22&lt;=Inputs!$B$21,A22&gt;Inputs!$B$21+Configurations!$C$15),0,Configurations!$C$4*Configurations!$C$5*8760*(1-Configurations!$C$6)^C22*Configurations!$C$7*(1-Configurations!$C$8))</f>
        <v>418568.783918298</v>
      </c>
      <c r="E22" s="13" t="n">
        <f aca="false">IF(OR(A22&lt;=Inputs!$B$21,A22&gt;Inputs!$B$21+Configurations!$C$15),0,IF(A22&lt;=Inputs!$B$21+Inputs!$B$5,0,D22*Inputs!$B$18/1000000))</f>
        <v>30.1369524421175</v>
      </c>
      <c r="F22" s="13" t="n">
        <f aca="false">IF(OR(A22&lt;=Inputs!$B$21,A22&gt;Inputs!$B$21+Configurations!$C$15),0,IF(A22&lt;=Inputs!$B$21+Inputs!$B$5,Configurations!$C$13,Configurations!$C$12+Configurations!$C$13+Inputs!$B$20*E22))</f>
        <v>8.41305428663176</v>
      </c>
      <c r="G22" s="13" t="n">
        <f aca="false">E22-F22</f>
        <v>21.7238981554857</v>
      </c>
      <c r="H22" s="21" t="n">
        <f aca="false">IF(AND(A22&gt;Inputs!$B$21,A22&lt;=Inputs!$B$21+Inputs!$B$12),Capitalization!D$12,0)</f>
        <v>14.7919951702751</v>
      </c>
      <c r="I22" s="13" t="n">
        <f aca="false">G22-H22</f>
        <v>6.93190298521056</v>
      </c>
      <c r="J22" s="22" t="n">
        <f aca="false">IF(A22&lt;=Inputs!$B$21,"",IF(AND(A22&lt;=Inputs!$B$22,Capitalization!D$18&gt;0),Inputs!$B$25,Inputs!$B$26))</f>
        <v>0.975</v>
      </c>
      <c r="K22" s="13" t="n">
        <f aca="false">IF(A22=0,-Capitalization!D$19,IF(A22&lt;=Inputs!$B$21,0,I22*J22-IF(AND(A22=Inputs!$B$22,Capitalization!D$18&gt;0),Inputs!$B$23,0)))</f>
        <v>6.7586054105803</v>
      </c>
      <c r="L22" s="23" t="n">
        <f aca="false">IF(H22&gt;0,G22/H22,"")</f>
        <v>1.46862528721889</v>
      </c>
      <c r="M22" s="13" t="n">
        <f aca="false">IF(A22=0,-Capitalization!D$4,IF(A22&lt;=Inputs!$B$21,0,G22))</f>
        <v>21.7238981554857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IF(A23=0,"Equity",IF(A23&lt;=Inputs!$B$21,"Construction",IF(A23&lt;=Inputs!$B$21+Inputs!$B$5,"Queue wait",IF(A23&lt;=Inputs!$B$21+Configurations!$C$15,"Grid ops","—"))))</f>
        <v>Grid ops</v>
      </c>
      <c r="C23" s="4" t="n">
        <f aca="false">IF(A23&lt;=Inputs!$B$21,"",A23-Inputs!$B$21-1)</f>
        <v>15</v>
      </c>
      <c r="D23" s="14" t="n">
        <f aca="false">IF(OR(A23&lt;=Inputs!$B$21,A23&gt;Inputs!$B$21+Configurations!$C$15),0,Configurations!$C$4*Configurations!$C$5*8760*(1-Configurations!$C$6)^C23*Configurations!$C$7*(1-Configurations!$C$8))</f>
        <v>417731.646350462</v>
      </c>
      <c r="E23" s="13" t="n">
        <f aca="false">IF(OR(A23&lt;=Inputs!$B$21,A23&gt;Inputs!$B$21+Configurations!$C$15),0,IF(A23&lt;=Inputs!$B$21+Inputs!$B$5,0,D23*Inputs!$B$18/1000000))</f>
        <v>30.0766785372332</v>
      </c>
      <c r="F23" s="13" t="n">
        <f aca="false">IF(OR(A23&lt;=Inputs!$B$21,A23&gt;Inputs!$B$21+Configurations!$C$15),0,IF(A23&lt;=Inputs!$B$21+Inputs!$B$5,Configurations!$C$13,Configurations!$C$12+Configurations!$C$13+Inputs!$B$20*E23))</f>
        <v>8.4121501780585</v>
      </c>
      <c r="G23" s="13" t="n">
        <f aca="false">E23-F23</f>
        <v>21.6645283591747</v>
      </c>
      <c r="H23" s="21" t="n">
        <f aca="false">IF(AND(A23&gt;Inputs!$B$21,A23&lt;=Inputs!$B$21+Inputs!$B$12),Capitalization!D$12,0)</f>
        <v>14.7919951702751</v>
      </c>
      <c r="I23" s="13" t="n">
        <f aca="false">G23-H23</f>
        <v>6.87253318889959</v>
      </c>
      <c r="J23" s="22" t="n">
        <f aca="false">IF(A23&lt;=Inputs!$B$21,"",IF(AND(A23&lt;=Inputs!$B$22,Capitalization!D$18&gt;0),Inputs!$B$25,Inputs!$B$26))</f>
        <v>0.975</v>
      </c>
      <c r="K23" s="13" t="n">
        <f aca="false">IF(A23=0,-Capitalization!D$19,IF(A23&lt;=Inputs!$B$21,0,I23*J23-IF(AND(A23=Inputs!$B$22,Capitalization!D$18&gt;0),Inputs!$B$23,0)))</f>
        <v>6.7007198591771</v>
      </c>
      <c r="L23" s="23" t="n">
        <f aca="false">IF(H23&gt;0,G23/H23,"")</f>
        <v>1.46461164364832</v>
      </c>
      <c r="M23" s="13" t="n">
        <f aca="false">IF(A23=0,-Capitalization!D$4,IF(A23&lt;=Inputs!$B$21,0,G23))</f>
        <v>21.6645283591747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IF(A24=0,"Equity",IF(A24&lt;=Inputs!$B$21,"Construction",IF(A24&lt;=Inputs!$B$21+Inputs!$B$5,"Queue wait",IF(A24&lt;=Inputs!$B$21+Configurations!$C$15,"Grid ops","—"))))</f>
        <v>Grid ops</v>
      </c>
      <c r="C24" s="4" t="n">
        <f aca="false">IF(A24&lt;=Inputs!$B$21,"",A24-Inputs!$B$21-1)</f>
        <v>16</v>
      </c>
      <c r="D24" s="14" t="n">
        <f aca="false">IF(OR(A24&lt;=Inputs!$B$21,A24&gt;Inputs!$B$21+Configurations!$C$15),0,Configurations!$C$4*Configurations!$C$5*8760*(1-Configurations!$C$6)^C24*Configurations!$C$7*(1-Configurations!$C$8))</f>
        <v>416896.183057761</v>
      </c>
      <c r="E24" s="13" t="n">
        <f aca="false">IF(OR(A24&lt;=Inputs!$B$21,A24&gt;Inputs!$B$21+Configurations!$C$15),0,IF(A24&lt;=Inputs!$B$21+Inputs!$B$5,0,D24*Inputs!$B$18/1000000))</f>
        <v>30.0165251801588</v>
      </c>
      <c r="F24" s="13" t="n">
        <f aca="false">IF(OR(A24&lt;=Inputs!$B$21,A24&gt;Inputs!$B$21+Configurations!$C$15),0,IF(A24&lt;=Inputs!$B$21+Inputs!$B$5,Configurations!$C$13,Configurations!$C$12+Configurations!$C$13+Inputs!$B$20*E24))</f>
        <v>8.41124787770238</v>
      </c>
      <c r="G24" s="13" t="n">
        <f aca="false">E24-F24</f>
        <v>21.6052773024564</v>
      </c>
      <c r="H24" s="21" t="n">
        <f aca="false">IF(AND(A24&gt;Inputs!$B$21,A24&lt;=Inputs!$B$21+Inputs!$B$12),Capitalization!D$12,0)</f>
        <v>14.7919951702751</v>
      </c>
      <c r="I24" s="13" t="n">
        <f aca="false">G24-H24</f>
        <v>6.81328213218125</v>
      </c>
      <c r="J24" s="22" t="n">
        <f aca="false">IF(A24&lt;=Inputs!$B$21,"",IF(AND(A24&lt;=Inputs!$B$22,Capitalization!D$18&gt;0),Inputs!$B$25,Inputs!$B$26))</f>
        <v>0.975</v>
      </c>
      <c r="K24" s="13" t="n">
        <f aca="false">IF(A24=0,-Capitalization!D$19,IF(A24&lt;=Inputs!$B$21,0,I24*J24-IF(AND(A24=Inputs!$B$22,Capitalization!D$18&gt;0),Inputs!$B$23,0)))</f>
        <v>6.64295007887672</v>
      </c>
      <c r="L24" s="23" t="n">
        <f aca="false">IF(H24&gt;0,G24/H24,"")</f>
        <v>1.4606060273649</v>
      </c>
      <c r="M24" s="13" t="n">
        <f aca="false">IF(A24=0,-Capitalization!D$4,IF(A24&lt;=Inputs!$B$21,0,G24))</f>
        <v>21.6052773024564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IF(A25=0,"Equity",IF(A25&lt;=Inputs!$B$21,"Construction",IF(A25&lt;=Inputs!$B$21+Inputs!$B$5,"Queue wait",IF(A25&lt;=Inputs!$B$21+Configurations!$C$15,"Grid ops","—"))))</f>
        <v>Grid ops</v>
      </c>
      <c r="C25" s="4" t="n">
        <f aca="false">IF(A25&lt;=Inputs!$B$21,"",A25-Inputs!$B$21-1)</f>
        <v>17</v>
      </c>
      <c r="D25" s="14" t="n">
        <f aca="false">IF(OR(A25&lt;=Inputs!$B$21,A25&gt;Inputs!$B$21+Configurations!$C$15),0,Configurations!$C$4*Configurations!$C$5*8760*(1-Configurations!$C$6)^C25*Configurations!$C$7*(1-Configurations!$C$8))</f>
        <v>416062.390691645</v>
      </c>
      <c r="E25" s="13" t="n">
        <f aca="false">IF(OR(A25&lt;=Inputs!$B$21,A25&gt;Inputs!$B$21+Configurations!$C$15),0,IF(A25&lt;=Inputs!$B$21+Inputs!$B$5,0,D25*Inputs!$B$18/1000000))</f>
        <v>29.9564921297984</v>
      </c>
      <c r="F25" s="13" t="n">
        <f aca="false">IF(OR(A25&lt;=Inputs!$B$21,A25&gt;Inputs!$B$21+Configurations!$C$15),0,IF(A25&lt;=Inputs!$B$21+Inputs!$B$5,Configurations!$C$13,Configurations!$C$12+Configurations!$C$13+Inputs!$B$20*E25))</f>
        <v>8.41034738194698</v>
      </c>
      <c r="G25" s="13" t="n">
        <f aca="false">E25-F25</f>
        <v>21.5461447478515</v>
      </c>
      <c r="H25" s="21" t="n">
        <f aca="false">IF(AND(A25&gt;Inputs!$B$21,A25&lt;=Inputs!$B$21+Inputs!$B$12),Capitalization!D$12,0)</f>
        <v>14.7919951702751</v>
      </c>
      <c r="I25" s="13" t="n">
        <f aca="false">G25-H25</f>
        <v>6.75414957757632</v>
      </c>
      <c r="J25" s="22" t="n">
        <f aca="false">IF(A25&lt;=Inputs!$B$21,"",IF(AND(A25&lt;=Inputs!$B$22,Capitalization!D$18&gt;0),Inputs!$B$25,Inputs!$B$26))</f>
        <v>0.975</v>
      </c>
      <c r="K25" s="13" t="n">
        <f aca="false">IF(A25=0,-Capitalization!D$19,IF(A25&lt;=Inputs!$B$21,0,I25*J25-IF(AND(A25=Inputs!$B$22,Capitalization!D$18&gt;0),Inputs!$B$23,0)))</f>
        <v>6.58529583813691</v>
      </c>
      <c r="L25" s="23" t="n">
        <f aca="false">IF(H25&gt;0,G25/H25,"")</f>
        <v>1.45660842231405</v>
      </c>
      <c r="M25" s="13" t="n">
        <f aca="false">IF(A25=0,-Capitalization!D$4,IF(A25&lt;=Inputs!$B$21,0,G25))</f>
        <v>21.5461447478515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IF(A26=0,"Equity",IF(A26&lt;=Inputs!$B$21,"Construction",IF(A26&lt;=Inputs!$B$21+Inputs!$B$5,"Queue wait",IF(A26&lt;=Inputs!$B$21+Configurations!$C$15,"Grid ops","—"))))</f>
        <v>Grid ops</v>
      </c>
      <c r="C26" s="4" t="n">
        <f aca="false">IF(A26&lt;=Inputs!$B$21,"",A26-Inputs!$B$21-1)</f>
        <v>18</v>
      </c>
      <c r="D26" s="14" t="n">
        <f aca="false">IF(OR(A26&lt;=Inputs!$B$21,A26&gt;Inputs!$B$21+Configurations!$C$15),0,Configurations!$C$4*Configurations!$C$5*8760*(1-Configurations!$C$6)^C26*Configurations!$C$7*(1-Configurations!$C$8))</f>
        <v>415230.265910262</v>
      </c>
      <c r="E26" s="13" t="n">
        <f aca="false">IF(OR(A26&lt;=Inputs!$B$21,A26&gt;Inputs!$B$21+Configurations!$C$15),0,IF(A26&lt;=Inputs!$B$21+Inputs!$B$5,0,D26*Inputs!$B$18/1000000))</f>
        <v>29.8965791455389</v>
      </c>
      <c r="F26" s="13" t="n">
        <f aca="false">IF(OR(A26&lt;=Inputs!$B$21,A26&gt;Inputs!$B$21+Configurations!$C$15),0,IF(A26&lt;=Inputs!$B$21+Inputs!$B$5,Configurations!$C$13,Configurations!$C$12+Configurations!$C$13+Inputs!$B$20*E26))</f>
        <v>8.40944868718308</v>
      </c>
      <c r="G26" s="13" t="n">
        <f aca="false">E26-F26</f>
        <v>21.4871304583558</v>
      </c>
      <c r="H26" s="21" t="n">
        <f aca="false">IF(AND(A26&gt;Inputs!$B$21,A26&lt;=Inputs!$B$21+Inputs!$B$12),Capitalization!D$12,0)</f>
        <v>14.7919951702751</v>
      </c>
      <c r="I26" s="13" t="n">
        <f aca="false">G26-H26</f>
        <v>6.69513528808062</v>
      </c>
      <c r="J26" s="22" t="n">
        <f aca="false">IF(A26&lt;=Inputs!$B$21,"",IF(AND(A26&lt;=Inputs!$B$22,Capitalization!D$18&gt;0),Inputs!$B$25,Inputs!$B$26))</f>
        <v>0.975</v>
      </c>
      <c r="K26" s="13" t="n">
        <f aca="false">IF(A26=0,-Capitalization!D$19,IF(A26&lt;=Inputs!$B$21,0,I26*J26-IF(AND(A26=Inputs!$B$22,Capitalization!D$18&gt;0),Inputs!$B$23,0)))</f>
        <v>6.52775690587861</v>
      </c>
      <c r="L26" s="23" t="n">
        <f aca="false">IF(H26&gt;0,G26/H26,"")</f>
        <v>1.45261881247329</v>
      </c>
      <c r="M26" s="13" t="n">
        <f aca="false">IF(A26=0,-Capitalization!D$4,IF(A26&lt;=Inputs!$B$21,0,G26))</f>
        <v>21.4871304583558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IF(A27=0,"Equity",IF(A27&lt;=Inputs!$B$21,"Construction",IF(A27&lt;=Inputs!$B$21+Inputs!$B$5,"Queue wait",IF(A27&lt;=Inputs!$B$21+Configurations!$C$15,"Grid ops","—"))))</f>
        <v>Grid ops</v>
      </c>
      <c r="C27" s="4" t="n">
        <f aca="false">IF(A27&lt;=Inputs!$B$21,"",A27-Inputs!$B$21-1)</f>
        <v>19</v>
      </c>
      <c r="D27" s="14" t="n">
        <f aca="false">IF(OR(A27&lt;=Inputs!$B$21,A27&gt;Inputs!$B$21+Configurations!$C$15),0,Configurations!$C$4*Configurations!$C$5*8760*(1-Configurations!$C$6)^C27*Configurations!$C$7*(1-Configurations!$C$8))</f>
        <v>414399.805378441</v>
      </c>
      <c r="E27" s="13" t="n">
        <f aca="false">IF(OR(A27&lt;=Inputs!$B$21,A27&gt;Inputs!$B$21+Configurations!$C$15),0,IF(A27&lt;=Inputs!$B$21+Inputs!$B$5,0,D27*Inputs!$B$18/1000000))</f>
        <v>29.8367859872478</v>
      </c>
      <c r="F27" s="13" t="n">
        <f aca="false">IF(OR(A27&lt;=Inputs!$B$21,A27&gt;Inputs!$B$21+Configurations!$C$15),0,IF(A27&lt;=Inputs!$B$21+Inputs!$B$5,Configurations!$C$13,Configurations!$C$12+Configurations!$C$13+Inputs!$B$20*E27))</f>
        <v>8.40855178980872</v>
      </c>
      <c r="G27" s="13" t="n">
        <f aca="false">E27-F27</f>
        <v>21.4282341974391</v>
      </c>
      <c r="H27" s="21" t="n">
        <f aca="false">IF(AND(A27&gt;Inputs!$B$21,A27&lt;=Inputs!$B$21+Inputs!$B$12),Capitalization!D$12,0)</f>
        <v>14.7919951702751</v>
      </c>
      <c r="I27" s="13" t="n">
        <f aca="false">G27-H27</f>
        <v>6.63623902716391</v>
      </c>
      <c r="J27" s="22" t="n">
        <f aca="false">IF(A27&lt;=Inputs!$B$21,"",IF(AND(A27&lt;=Inputs!$B$22,Capitalization!D$18&gt;0),Inputs!$B$25,Inputs!$B$26))</f>
        <v>0.975</v>
      </c>
      <c r="K27" s="13" t="n">
        <f aca="false">IF(A27=0,-Capitalization!D$19,IF(A27&lt;=Inputs!$B$21,0,I27*J27-IF(AND(A27=Inputs!$B$22,Capitalization!D$18&gt;0),Inputs!$B$23,0)))</f>
        <v>6.47033305148481</v>
      </c>
      <c r="L27" s="23" t="n">
        <f aca="false">IF(H27&gt;0,G27/H27,"")</f>
        <v>1.44863718185222</v>
      </c>
      <c r="M27" s="13" t="n">
        <f aca="false">IF(A27=0,-Capitalization!D$4,IF(A27&lt;=Inputs!$B$21,0,G27))</f>
        <v>21.4282341974391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IF(A28=0,"Equity",IF(A28&lt;=Inputs!$B$21,"Construction",IF(A28&lt;=Inputs!$B$21+Inputs!$B$5,"Queue wait",IF(A28&lt;=Inputs!$B$21+Configurations!$C$15,"Grid ops","—"))))</f>
        <v>Grid ops</v>
      </c>
      <c r="C28" s="4" t="n">
        <f aca="false">IF(A28&lt;=Inputs!$B$21,"",A28-Inputs!$B$21-1)</f>
        <v>20</v>
      </c>
      <c r="D28" s="14" t="n">
        <f aca="false">IF(OR(A28&lt;=Inputs!$B$21,A28&gt;Inputs!$B$21+Configurations!$C$15),0,Configurations!$C$4*Configurations!$C$5*8760*(1-Configurations!$C$6)^C28*Configurations!$C$7*(1-Configurations!$C$8))</f>
        <v>413571.005767684</v>
      </c>
      <c r="E28" s="13" t="n">
        <f aca="false">IF(OR(A28&lt;=Inputs!$B$21,A28&gt;Inputs!$B$21+Configurations!$C$15),0,IF(A28&lt;=Inputs!$B$21+Inputs!$B$5,0,D28*Inputs!$B$18/1000000))</f>
        <v>29.7771124152733</v>
      </c>
      <c r="F28" s="13" t="n">
        <f aca="false">IF(OR(A28&lt;=Inputs!$B$21,A28&gt;Inputs!$B$21+Configurations!$C$15),0,IF(A28&lt;=Inputs!$B$21+Inputs!$B$5,Configurations!$C$13,Configurations!$C$12+Configurations!$C$13+Inputs!$B$20*E28))</f>
        <v>8.4076566862291</v>
      </c>
      <c r="G28" s="13" t="n">
        <f aca="false">E28-F28</f>
        <v>21.3694557290442</v>
      </c>
      <c r="H28" s="21" t="n">
        <f aca="false">IF(AND(A28&gt;Inputs!$B$21,A28&lt;=Inputs!$B$21+Inputs!$B$12),Capitalization!D$12,0)</f>
        <v>0</v>
      </c>
      <c r="I28" s="13" t="n">
        <f aca="false">G28-H28</f>
        <v>21.3694557290442</v>
      </c>
      <c r="J28" s="22" t="n">
        <f aca="false">IF(A28&lt;=Inputs!$B$21,"",IF(AND(A28&lt;=Inputs!$B$22,Capitalization!D$18&gt;0),Inputs!$B$25,Inputs!$B$26))</f>
        <v>0.975</v>
      </c>
      <c r="K28" s="13" t="n">
        <f aca="false">IF(A28=0,-Capitalization!D$19,IF(A28&lt;=Inputs!$B$21,0,I28*J28-IF(AND(A28=Inputs!$B$22,Capitalization!D$18&gt;0),Inputs!$B$23,0)))</f>
        <v>20.8352193358181</v>
      </c>
      <c r="L28" s="23" t="str">
        <f aca="false">IF(H28&gt;0,G28/H28,"")</f>
        <v/>
      </c>
      <c r="M28" s="13" t="n">
        <f aca="false">IF(A28=0,-Capitalization!D$4,IF(A28&lt;=Inputs!$B$21,0,G28))</f>
        <v>21.3694557290442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IF(A29=0,"Equity",IF(A29&lt;=Inputs!$B$21,"Construction",IF(A29&lt;=Inputs!$B$21+Inputs!$B$5,"Queue wait",IF(A29&lt;=Inputs!$B$21+Configurations!$C$15,"Grid ops","—"))))</f>
        <v>Grid ops</v>
      </c>
      <c r="C29" s="4" t="n">
        <f aca="false">IF(A29&lt;=Inputs!$B$21,"",A29-Inputs!$B$21-1)</f>
        <v>21</v>
      </c>
      <c r="D29" s="14" t="n">
        <f aca="false">IF(OR(A29&lt;=Inputs!$B$21,A29&gt;Inputs!$B$21+Configurations!$C$15),0,Configurations!$C$4*Configurations!$C$5*8760*(1-Configurations!$C$6)^C29*Configurations!$C$7*(1-Configurations!$C$8))</f>
        <v>412743.863756149</v>
      </c>
      <c r="E29" s="13" t="n">
        <f aca="false">IF(OR(A29&lt;=Inputs!$B$21,A29&gt;Inputs!$B$21+Configurations!$C$15),0,IF(A29&lt;=Inputs!$B$21+Inputs!$B$5,0,D29*Inputs!$B$18/1000000))</f>
        <v>29.7175581904427</v>
      </c>
      <c r="F29" s="13" t="n">
        <f aca="false">IF(OR(A29&lt;=Inputs!$B$21,A29&gt;Inputs!$B$21+Configurations!$C$15),0,IF(A29&lt;=Inputs!$B$21+Inputs!$B$5,Configurations!$C$13,Configurations!$C$12+Configurations!$C$13+Inputs!$B$20*E29))</f>
        <v>8.40676337285664</v>
      </c>
      <c r="G29" s="13" t="n">
        <f aca="false">E29-F29</f>
        <v>21.3107948175861</v>
      </c>
      <c r="H29" s="21" t="n">
        <f aca="false">IF(AND(A29&gt;Inputs!$B$21,A29&lt;=Inputs!$B$21+Inputs!$B$12),Capitalization!D$12,0)</f>
        <v>0</v>
      </c>
      <c r="I29" s="13" t="n">
        <f aca="false">G29-H29</f>
        <v>21.3107948175861</v>
      </c>
      <c r="J29" s="22" t="n">
        <f aca="false">IF(A29&lt;=Inputs!$B$21,"",IF(AND(A29&lt;=Inputs!$B$22,Capitalization!D$18&gt;0),Inputs!$B$25,Inputs!$B$26))</f>
        <v>0.975</v>
      </c>
      <c r="K29" s="13" t="n">
        <f aca="false">IF(A29=0,-Capitalization!D$19,IF(A29&lt;=Inputs!$B$21,0,I29*J29-IF(AND(A29=Inputs!$B$22,Capitalization!D$18&gt;0),Inputs!$B$23,0)))</f>
        <v>20.7780249471464</v>
      </c>
      <c r="L29" s="23" t="str">
        <f aca="false">IF(H29&gt;0,G29/H29,"")</f>
        <v/>
      </c>
      <c r="M29" s="13" t="n">
        <f aca="false">IF(A29=0,-Capitalization!D$4,IF(A29&lt;=Inputs!$B$21,0,G29))</f>
        <v>21.3107948175861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IF(A30=0,"Equity",IF(A30&lt;=Inputs!$B$21,"Construction",IF(A30&lt;=Inputs!$B$21+Inputs!$B$5,"Queue wait",IF(A30&lt;=Inputs!$B$21+Configurations!$C$15,"Grid ops","—"))))</f>
        <v>Grid ops</v>
      </c>
      <c r="C30" s="4" t="n">
        <f aca="false">IF(A30&lt;=Inputs!$B$21,"",A30-Inputs!$B$21-1)</f>
        <v>22</v>
      </c>
      <c r="D30" s="14" t="n">
        <f aca="false">IF(OR(A30&lt;=Inputs!$B$21,A30&gt;Inputs!$B$21+Configurations!$C$15),0,Configurations!$C$4*Configurations!$C$5*8760*(1-Configurations!$C$6)^C30*Configurations!$C$7*(1-Configurations!$C$8))</f>
        <v>411918.376028637</v>
      </c>
      <c r="E30" s="13" t="n">
        <f aca="false">IF(OR(A30&lt;=Inputs!$B$21,A30&gt;Inputs!$B$21+Configurations!$C$15),0,IF(A30&lt;=Inputs!$B$21+Inputs!$B$5,0,D30*Inputs!$B$18/1000000))</f>
        <v>29.6581230740618</v>
      </c>
      <c r="F30" s="13" t="n">
        <f aca="false">IF(OR(A30&lt;=Inputs!$B$21,A30&gt;Inputs!$B$21+Configurations!$C$15),0,IF(A30&lt;=Inputs!$B$21+Inputs!$B$5,Configurations!$C$13,Configurations!$C$12+Configurations!$C$13+Inputs!$B$20*E30))</f>
        <v>8.40587184611093</v>
      </c>
      <c r="G30" s="13" t="n">
        <f aca="false">E30-F30</f>
        <v>21.2522512279509</v>
      </c>
      <c r="H30" s="21" t="n">
        <f aca="false">IF(AND(A30&gt;Inputs!$B$21,A30&lt;=Inputs!$B$21+Inputs!$B$12),Capitalization!D$12,0)</f>
        <v>0</v>
      </c>
      <c r="I30" s="13" t="n">
        <f aca="false">G30-H30</f>
        <v>21.2522512279509</v>
      </c>
      <c r="J30" s="22" t="n">
        <f aca="false">IF(A30&lt;=Inputs!$B$21,"",IF(AND(A30&lt;=Inputs!$B$22,Capitalization!D$18&gt;0),Inputs!$B$25,Inputs!$B$26))</f>
        <v>0.975</v>
      </c>
      <c r="K30" s="13" t="n">
        <f aca="false">IF(A30=0,-Capitalization!D$19,IF(A30&lt;=Inputs!$B$21,0,I30*J30-IF(AND(A30=Inputs!$B$22,Capitalization!D$18&gt;0),Inputs!$B$23,0)))</f>
        <v>20.7209449472521</v>
      </c>
      <c r="L30" s="23" t="str">
        <f aca="false">IF(H30&gt;0,G30/H30,"")</f>
        <v/>
      </c>
      <c r="M30" s="13" t="n">
        <f aca="false">IF(A30=0,-Capitalization!D$4,IF(A30&lt;=Inputs!$B$21,0,G30))</f>
        <v>21.2522512279509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IF(A31=0,"Equity",IF(A31&lt;=Inputs!$B$21,"Construction",IF(A31&lt;=Inputs!$B$21+Inputs!$B$5,"Queue wait",IF(A31&lt;=Inputs!$B$21+Configurations!$C$15,"Grid ops","—"))))</f>
        <v>Grid ops</v>
      </c>
      <c r="C31" s="4" t="n">
        <f aca="false">IF(A31&lt;=Inputs!$B$21,"",A31-Inputs!$B$21-1)</f>
        <v>23</v>
      </c>
      <c r="D31" s="14" t="n">
        <f aca="false">IF(OR(A31&lt;=Inputs!$B$21,A31&gt;Inputs!$B$21+Configurations!$C$15),0,Configurations!$C$4*Configurations!$C$5*8760*(1-Configurations!$C$6)^C31*Configurations!$C$7*(1-Configurations!$C$8))</f>
        <v>411094.53927658</v>
      </c>
      <c r="E31" s="13" t="n">
        <f aca="false">IF(OR(A31&lt;=Inputs!$B$21,A31&gt;Inputs!$B$21+Configurations!$C$15),0,IF(A31&lt;=Inputs!$B$21+Inputs!$B$5,0,D31*Inputs!$B$18/1000000))</f>
        <v>29.5988068279137</v>
      </c>
      <c r="F31" s="13" t="n">
        <f aca="false">IF(OR(A31&lt;=Inputs!$B$21,A31&gt;Inputs!$B$21+Configurations!$C$15),0,IF(A31&lt;=Inputs!$B$21+Inputs!$B$5,Configurations!$C$13,Configurations!$C$12+Configurations!$C$13+Inputs!$B$20*E31))</f>
        <v>8.40498210241871</v>
      </c>
      <c r="G31" s="13" t="n">
        <f aca="false">E31-F31</f>
        <v>21.193824725495</v>
      </c>
      <c r="H31" s="21" t="n">
        <f aca="false">IF(AND(A31&gt;Inputs!$B$21,A31&lt;=Inputs!$B$21+Inputs!$B$12),Capitalization!D$12,0)</f>
        <v>0</v>
      </c>
      <c r="I31" s="13" t="n">
        <f aca="false">G31-H31</f>
        <v>21.193824725495</v>
      </c>
      <c r="J31" s="22" t="n">
        <f aca="false">IF(A31&lt;=Inputs!$B$21,"",IF(AND(A31&lt;=Inputs!$B$22,Capitalization!D$18&gt;0),Inputs!$B$25,Inputs!$B$26))</f>
        <v>0.975</v>
      </c>
      <c r="K31" s="13" t="n">
        <f aca="false">IF(A31=0,-Capitalization!D$19,IF(A31&lt;=Inputs!$B$21,0,I31*J31-IF(AND(A31=Inputs!$B$22,Capitalization!D$18&gt;0),Inputs!$B$23,0)))</f>
        <v>20.6639791073576</v>
      </c>
      <c r="L31" s="23" t="str">
        <f aca="false">IF(H31&gt;0,G31/H31,"")</f>
        <v/>
      </c>
      <c r="M31" s="13" t="n">
        <f aca="false">IF(A31=0,-Capitalization!D$4,IF(A31&lt;=Inputs!$B$21,0,G31))</f>
        <v>21.193824725495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IF(A32=0,"Equity",IF(A32&lt;=Inputs!$B$21,"Construction",IF(A32&lt;=Inputs!$B$21+Inputs!$B$5,"Queue wait",IF(A32&lt;=Inputs!$B$21+Configurations!$C$15,"Grid ops","—"))))</f>
        <v>Grid ops</v>
      </c>
      <c r="C32" s="4" t="n">
        <f aca="false">IF(A32&lt;=Inputs!$B$21,"",A32-Inputs!$B$21-1)</f>
        <v>24</v>
      </c>
      <c r="D32" s="14" t="n">
        <f aca="false">IF(OR(A32&lt;=Inputs!$B$21,A32&gt;Inputs!$B$21+Configurations!$C$15),0,Configurations!$C$4*Configurations!$C$5*8760*(1-Configurations!$C$6)^C32*Configurations!$C$7*(1-Configurations!$C$8))</f>
        <v>410272.350198026</v>
      </c>
      <c r="E32" s="13" t="n">
        <f aca="false">IF(OR(A32&lt;=Inputs!$B$21,A32&gt;Inputs!$B$21+Configurations!$C$15),0,IF(A32&lt;=Inputs!$B$21+Inputs!$B$5,0,D32*Inputs!$B$18/1000000))</f>
        <v>29.5396092142579</v>
      </c>
      <c r="F32" s="13" t="n">
        <f aca="false">IF(OR(A32&lt;=Inputs!$B$21,A32&gt;Inputs!$B$21+Configurations!$C$15),0,IF(A32&lt;=Inputs!$B$21+Inputs!$B$5,Configurations!$C$13,Configurations!$C$12+Configurations!$C$13+Inputs!$B$20*E32))</f>
        <v>8.40409413821387</v>
      </c>
      <c r="G32" s="13" t="n">
        <f aca="false">E32-F32</f>
        <v>21.135515076044</v>
      </c>
      <c r="H32" s="21" t="n">
        <f aca="false">IF(AND(A32&gt;Inputs!$B$21,A32&lt;=Inputs!$B$21+Inputs!$B$12),Capitalization!D$12,0)</f>
        <v>0</v>
      </c>
      <c r="I32" s="13" t="n">
        <f aca="false">G32-H32</f>
        <v>21.135515076044</v>
      </c>
      <c r="J32" s="22" t="n">
        <f aca="false">IF(A32&lt;=Inputs!$B$21,"",IF(AND(A32&lt;=Inputs!$B$22,Capitalization!D$18&gt;0),Inputs!$B$25,Inputs!$B$26))</f>
        <v>0.975</v>
      </c>
      <c r="K32" s="13" t="n">
        <f aca="false">IF(A32=0,-Capitalization!D$19,IF(A32&lt;=Inputs!$B$21,0,I32*J32-IF(AND(A32=Inputs!$B$22,Capitalization!D$18&gt;0),Inputs!$B$23,0)))</f>
        <v>20.6071271991429</v>
      </c>
      <c r="L32" s="23" t="str">
        <f aca="false">IF(H32&gt;0,G32/H32,"")</f>
        <v/>
      </c>
      <c r="M32" s="13" t="n">
        <f aca="false">IF(A32=0,-Capitalization!D$4,IF(A32&lt;=Inputs!$B$21,0,G32))</f>
        <v>21.135515076044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IF(A33=0,"Equity",IF(A33&lt;=Inputs!$B$21,"Construction",IF(A33&lt;=Inputs!$B$21+Inputs!$B$5,"Queue wait",IF(A33&lt;=Inputs!$B$21+Configurations!$C$15,"Grid ops","—"))))</f>
        <v>—</v>
      </c>
      <c r="C33" s="4" t="n">
        <f aca="false">IF(A33&lt;=Inputs!$B$21,"",A33-Inputs!$B$21-1)</f>
        <v>25</v>
      </c>
      <c r="D33" s="14" t="n">
        <f aca="false">IF(OR(A33&lt;=Inputs!$B$21,A33&gt;Inputs!$B$21+Configurations!$C$15),0,Configurations!$C$4*Configurations!$C$5*8760*(1-Configurations!$C$6)^C33*Configurations!$C$7*(1-Configurations!$C$8))</f>
        <v>0</v>
      </c>
      <c r="E33" s="13" t="n">
        <f aca="false">IF(OR(A33&lt;=Inputs!$B$21,A33&gt;Inputs!$B$21+Configurations!$C$15),0,IF(A33&lt;=Inputs!$B$21+Inputs!$B$5,0,D33*Inputs!$B$18/1000000))</f>
        <v>0</v>
      </c>
      <c r="F33" s="13" t="n">
        <f aca="false">IF(OR(A33&lt;=Inputs!$B$21,A33&gt;Inputs!$B$21+Configurations!$C$15),0,IF(A33&lt;=Inputs!$B$21+Inputs!$B$5,Configurations!$C$13,Configurations!$C$12+Configurations!$C$13+Inputs!$B$20*E33))</f>
        <v>0</v>
      </c>
      <c r="G33" s="13" t="n">
        <f aca="false">E33-F33</f>
        <v>0</v>
      </c>
      <c r="H33" s="21" t="n">
        <f aca="false">IF(AND(A33&gt;Inputs!$B$21,A33&lt;=Inputs!$B$21+Inputs!$B$12),Capitalization!D$12,0)</f>
        <v>0</v>
      </c>
      <c r="I33" s="13" t="n">
        <f aca="false">G33-H33</f>
        <v>0</v>
      </c>
      <c r="J33" s="22" t="n">
        <f aca="false">IF(A33&lt;=Inputs!$B$21,"",IF(AND(A33&lt;=Inputs!$B$22,Capitalization!D$18&gt;0),Inputs!$B$25,Inputs!$B$26))</f>
        <v>0.975</v>
      </c>
      <c r="K33" s="13" t="n">
        <f aca="false">IF(A33=0,-Capitalization!D$19,IF(A33&lt;=Inputs!$B$21,0,I33*J33-IF(AND(A33=Inputs!$B$22,Capitalization!D$18&gt;0),Inputs!$B$23,0)))</f>
        <v>0</v>
      </c>
      <c r="L33" s="23" t="str">
        <f aca="false">IF(H33&gt;0,G33/H33,"")</f>
        <v/>
      </c>
      <c r="M33" s="13" t="n">
        <f aca="false">IF(A33=0,-Capitalization!D$4,IF(A33&lt;=Inputs!$B$21,0,G33))</f>
        <v>0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IF(A34=0,"Equity",IF(A34&lt;=Inputs!$B$21,"Construction",IF(A34&lt;=Inputs!$B$21+Inputs!$B$5,"Queue wait",IF(A34&lt;=Inputs!$B$21+Configurations!$C$15,"Grid ops","—"))))</f>
        <v>—</v>
      </c>
      <c r="C34" s="4" t="n">
        <f aca="false">IF(A34&lt;=Inputs!$B$21,"",A34-Inputs!$B$21-1)</f>
        <v>26</v>
      </c>
      <c r="D34" s="14" t="n">
        <f aca="false">IF(OR(A34&lt;=Inputs!$B$21,A34&gt;Inputs!$B$21+Configurations!$C$15),0,Configurations!$C$4*Configurations!$C$5*8760*(1-Configurations!$C$6)^C34*Configurations!$C$7*(1-Configurations!$C$8))</f>
        <v>0</v>
      </c>
      <c r="E34" s="13" t="n">
        <f aca="false">IF(OR(A34&lt;=Inputs!$B$21,A34&gt;Inputs!$B$21+Configurations!$C$15),0,IF(A34&lt;=Inputs!$B$21+Inputs!$B$5,0,D34*Inputs!$B$18/1000000))</f>
        <v>0</v>
      </c>
      <c r="F34" s="13" t="n">
        <f aca="false">IF(OR(A34&lt;=Inputs!$B$21,A34&gt;Inputs!$B$21+Configurations!$C$15),0,IF(A34&lt;=Inputs!$B$21+Inputs!$B$5,Configurations!$C$13,Configurations!$C$12+Configurations!$C$13+Inputs!$B$20*E34))</f>
        <v>0</v>
      </c>
      <c r="G34" s="13" t="n">
        <f aca="false">E34-F34</f>
        <v>0</v>
      </c>
      <c r="H34" s="21" t="n">
        <f aca="false">IF(AND(A34&gt;Inputs!$B$21,A34&lt;=Inputs!$B$21+Inputs!$B$12),Capitalization!D$12,0)</f>
        <v>0</v>
      </c>
      <c r="I34" s="13" t="n">
        <f aca="false">G34-H34</f>
        <v>0</v>
      </c>
      <c r="J34" s="22" t="n">
        <f aca="false">IF(A34&lt;=Inputs!$B$21,"",IF(AND(A34&lt;=Inputs!$B$22,Capitalization!D$18&gt;0),Inputs!$B$25,Inputs!$B$26))</f>
        <v>0.975</v>
      </c>
      <c r="K34" s="13" t="n">
        <f aca="false">IF(A34=0,-Capitalization!D$19,IF(A34&lt;=Inputs!$B$21,0,I34*J34-IF(AND(A34=Inputs!$B$22,Capitalization!D$18&gt;0),Inputs!$B$23,0)))</f>
        <v>0</v>
      </c>
      <c r="L34" s="23" t="str">
        <f aca="false">IF(H34&gt;0,G34/H34,"")</f>
        <v/>
      </c>
      <c r="M34" s="13" t="n">
        <f aca="false">IF(A34=0,-Capitalization!D$4,IF(A34&lt;=Inputs!$B$21,0,G34))</f>
        <v>0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IF(A35=0,"Equity",IF(A35&lt;=Inputs!$B$21,"Construction",IF(A35&lt;=Inputs!$B$21+Inputs!$B$5,"Queue wait",IF(A35&lt;=Inputs!$B$21+Configurations!$C$15,"Grid ops","—"))))</f>
        <v>—</v>
      </c>
      <c r="C35" s="4" t="n">
        <f aca="false">IF(A35&lt;=Inputs!$B$21,"",A35-Inputs!$B$21-1)</f>
        <v>27</v>
      </c>
      <c r="D35" s="14" t="n">
        <f aca="false">IF(OR(A35&lt;=Inputs!$B$21,A35&gt;Inputs!$B$21+Configurations!$C$15),0,Configurations!$C$4*Configurations!$C$5*8760*(1-Configurations!$C$6)^C35*Configurations!$C$7*(1-Configurations!$C$8))</f>
        <v>0</v>
      </c>
      <c r="E35" s="13" t="n">
        <f aca="false">IF(OR(A35&lt;=Inputs!$B$21,A35&gt;Inputs!$B$21+Configurations!$C$15),0,IF(A35&lt;=Inputs!$B$21+Inputs!$B$5,0,D35*Inputs!$B$18/1000000))</f>
        <v>0</v>
      </c>
      <c r="F35" s="13" t="n">
        <f aca="false">IF(OR(A35&lt;=Inputs!$B$21,A35&gt;Inputs!$B$21+Configurations!$C$15),0,IF(A35&lt;=Inputs!$B$21+Inputs!$B$5,Configurations!$C$13,Configurations!$C$12+Configurations!$C$13+Inputs!$B$20*E35))</f>
        <v>0</v>
      </c>
      <c r="G35" s="13" t="n">
        <f aca="false">E35-F35</f>
        <v>0</v>
      </c>
      <c r="H35" s="21" t="n">
        <f aca="false">IF(AND(A35&gt;Inputs!$B$21,A35&lt;=Inputs!$B$21+Inputs!$B$12),Capitalization!D$12,0)</f>
        <v>0</v>
      </c>
      <c r="I35" s="13" t="n">
        <f aca="false">G35-H35</f>
        <v>0</v>
      </c>
      <c r="J35" s="22" t="n">
        <f aca="false">IF(A35&lt;=Inputs!$B$21,"",IF(AND(A35&lt;=Inputs!$B$22,Capitalization!D$18&gt;0),Inputs!$B$25,Inputs!$B$26))</f>
        <v>0.975</v>
      </c>
      <c r="K35" s="13" t="n">
        <f aca="false">IF(A35=0,-Capitalization!D$19,IF(A35&lt;=Inputs!$B$21,0,I35*J35-IF(AND(A35=Inputs!$B$22,Capitalization!D$18&gt;0),Inputs!$B$23,0)))</f>
        <v>0</v>
      </c>
      <c r="L35" s="23" t="str">
        <f aca="false">IF(H35&gt;0,G35/H35,"")</f>
        <v/>
      </c>
      <c r="M35" s="13" t="n">
        <f aca="false">IF(A35=0,-Capitalization!D$4,IF(A35&lt;=Inputs!$B$21,0,G35))</f>
        <v>0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IF(A36=0,"Equity",IF(A36&lt;=Inputs!$B$21,"Construction",IF(A36&lt;=Inputs!$B$21+Inputs!$B$5,"Queue wait",IF(A36&lt;=Inputs!$B$21+Configurations!$C$15,"Grid ops","—"))))</f>
        <v>—</v>
      </c>
      <c r="C36" s="4" t="n">
        <f aca="false">IF(A36&lt;=Inputs!$B$21,"",A36-Inputs!$B$21-1)</f>
        <v>28</v>
      </c>
      <c r="D36" s="14" t="n">
        <f aca="false">IF(OR(A36&lt;=Inputs!$B$21,A36&gt;Inputs!$B$21+Configurations!$C$15),0,Configurations!$C$4*Configurations!$C$5*8760*(1-Configurations!$C$6)^C36*Configurations!$C$7*(1-Configurations!$C$8))</f>
        <v>0</v>
      </c>
      <c r="E36" s="13" t="n">
        <f aca="false">IF(OR(A36&lt;=Inputs!$B$21,A36&gt;Inputs!$B$21+Configurations!$C$15),0,IF(A36&lt;=Inputs!$B$21+Inputs!$B$5,0,D36*Inputs!$B$18/1000000))</f>
        <v>0</v>
      </c>
      <c r="F36" s="13" t="n">
        <f aca="false">IF(OR(A36&lt;=Inputs!$B$21,A36&gt;Inputs!$B$21+Configurations!$C$15),0,IF(A36&lt;=Inputs!$B$21+Inputs!$B$5,Configurations!$C$13,Configurations!$C$12+Configurations!$C$13+Inputs!$B$20*E36))</f>
        <v>0</v>
      </c>
      <c r="G36" s="13" t="n">
        <f aca="false">E36-F36</f>
        <v>0</v>
      </c>
      <c r="H36" s="21" t="n">
        <f aca="false">IF(AND(A36&gt;Inputs!$B$21,A36&lt;=Inputs!$B$21+Inputs!$B$12),Capitalization!D$12,0)</f>
        <v>0</v>
      </c>
      <c r="I36" s="13" t="n">
        <f aca="false">G36-H36</f>
        <v>0</v>
      </c>
      <c r="J36" s="22" t="n">
        <f aca="false">IF(A36&lt;=Inputs!$B$21,"",IF(AND(A36&lt;=Inputs!$B$22,Capitalization!D$18&gt;0),Inputs!$B$25,Inputs!$B$26))</f>
        <v>0.975</v>
      </c>
      <c r="K36" s="13" t="n">
        <f aca="false">IF(A36=0,-Capitalization!D$19,IF(A36&lt;=Inputs!$B$21,0,I36*J36-IF(AND(A36=Inputs!$B$22,Capitalization!D$18&gt;0),Inputs!$B$23,0)))</f>
        <v>0</v>
      </c>
      <c r="L36" s="23" t="str">
        <f aca="false">IF(H36&gt;0,G36/H36,"")</f>
        <v/>
      </c>
      <c r="M36" s="13" t="n">
        <f aca="false">IF(A36=0,-Capitalization!D$4,IF(A36&lt;=Inputs!$B$21,0,G36))</f>
        <v>0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IF(A37=0,"Equity",IF(A37&lt;=Inputs!$B$21,"Construction",IF(A37&lt;=Inputs!$B$21+Inputs!$B$5,"Queue wait",IF(A37&lt;=Inputs!$B$21+Configurations!$C$15,"Grid ops","—"))))</f>
        <v>—</v>
      </c>
      <c r="C37" s="4" t="n">
        <f aca="false">IF(A37&lt;=Inputs!$B$21,"",A37-Inputs!$B$21-1)</f>
        <v>29</v>
      </c>
      <c r="D37" s="14" t="n">
        <f aca="false">IF(OR(A37&lt;=Inputs!$B$21,A37&gt;Inputs!$B$21+Configurations!$C$15),0,Configurations!$C$4*Configurations!$C$5*8760*(1-Configurations!$C$6)^C37*Configurations!$C$7*(1-Configurations!$C$8))</f>
        <v>0</v>
      </c>
      <c r="E37" s="13" t="n">
        <f aca="false">IF(OR(A37&lt;=Inputs!$B$21,A37&gt;Inputs!$B$21+Configurations!$C$15),0,IF(A37&lt;=Inputs!$B$21+Inputs!$B$5,0,D37*Inputs!$B$18/1000000))</f>
        <v>0</v>
      </c>
      <c r="F37" s="13" t="n">
        <f aca="false">IF(OR(A37&lt;=Inputs!$B$21,A37&gt;Inputs!$B$21+Configurations!$C$15),0,IF(A37&lt;=Inputs!$B$21+Inputs!$B$5,Configurations!$C$13,Configurations!$C$12+Configurations!$C$13+Inputs!$B$20*E37))</f>
        <v>0</v>
      </c>
      <c r="G37" s="13" t="n">
        <f aca="false">E37-F37</f>
        <v>0</v>
      </c>
      <c r="H37" s="21" t="n">
        <f aca="false">IF(AND(A37&gt;Inputs!$B$21,A37&lt;=Inputs!$B$21+Inputs!$B$12),Capitalization!D$12,0)</f>
        <v>0</v>
      </c>
      <c r="I37" s="13" t="n">
        <f aca="false">G37-H37</f>
        <v>0</v>
      </c>
      <c r="J37" s="22" t="n">
        <f aca="false">IF(A37&lt;=Inputs!$B$21,"",IF(AND(A37&lt;=Inputs!$B$22,Capitalization!D$18&gt;0),Inputs!$B$25,Inputs!$B$26))</f>
        <v>0.975</v>
      </c>
      <c r="K37" s="13" t="n">
        <f aca="false">IF(A37=0,-Capitalization!D$19,IF(A37&lt;=Inputs!$B$21,0,I37*J37-IF(AND(A37=Inputs!$B$22,Capitalization!D$18&gt;0),Inputs!$B$23,0)))</f>
        <v>0</v>
      </c>
      <c r="L37" s="23" t="str">
        <f aca="false">IF(H37&gt;0,G37/H37,"")</f>
        <v/>
      </c>
      <c r="M37" s="13" t="n">
        <f aca="false">IF(A37=0,-Capitalization!D$4,IF(A37&lt;=Inputs!$B$21,0,G37))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15" t="s">
        <v>110</v>
      </c>
      <c r="B2" s="17" t="n">
        <f aca="false">IRR(K5:K37)</f>
        <v>0.10059926567789</v>
      </c>
      <c r="C2" s="15" t="s">
        <v>111</v>
      </c>
      <c r="D2" s="18" t="n">
        <f aca="false">IRR(M5:M37)</f>
        <v>0.0263299539787009</v>
      </c>
      <c r="E2" s="15" t="s">
        <v>112</v>
      </c>
      <c r="F2" s="19" t="n">
        <f aca="false">K5+NPV(Inputs!$B$24,K6:K37)</f>
        <v>11.3690066493199</v>
      </c>
    </row>
    <row r="4" customFormat="false" ht="26.85" hidden="false" customHeight="false" outlineLevel="0" collapsed="false">
      <c r="A4" s="20" t="s">
        <v>113</v>
      </c>
      <c r="B4" s="20" t="s">
        <v>114</v>
      </c>
      <c r="C4" s="20" t="s">
        <v>115</v>
      </c>
      <c r="D4" s="20" t="s">
        <v>116</v>
      </c>
      <c r="E4" s="20" t="s">
        <v>117</v>
      </c>
      <c r="F4" s="20" t="s">
        <v>118</v>
      </c>
      <c r="G4" s="20" t="s">
        <v>119</v>
      </c>
      <c r="H4" s="20" t="s">
        <v>120</v>
      </c>
      <c r="I4" s="20" t="s">
        <v>121</v>
      </c>
      <c r="J4" s="20" t="s">
        <v>122</v>
      </c>
      <c r="K4" s="20" t="s">
        <v>123</v>
      </c>
      <c r="L4" s="20" t="s">
        <v>124</v>
      </c>
      <c r="M4" s="20" t="s">
        <v>125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IF(A5=0,"Equity",IF(A5&lt;=Inputs!$B$21,"Construction",IF(A5&lt;=Inputs!$B$21+Inputs!$B$5,"Queue wait",IF(A5&lt;=Inputs!$B$21+Configurations!$C$15,"Grid ops","—"))))</f>
        <v>Equity</v>
      </c>
      <c r="C5" s="4" t="str">
        <f aca="false">IF(A5&lt;=Inputs!$B$21,"",A5-Inputs!$B$21-1)</f>
        <v/>
      </c>
      <c r="D5" s="14" t="n">
        <f aca="false">IF(OR(A5&lt;=Inputs!$B$21,A5&gt;Inputs!$B$21+Configurations!$C$15),0,Configurations!$C$4*Configurations!$C$5*8760*(1-Configurations!$C$6)^C5*Configurations!$C$7*(1-Configurations!$C$8))</f>
        <v>0</v>
      </c>
      <c r="E5" s="13" t="n">
        <f aca="false">IF(OR(A5&lt;=Inputs!$B$21,A5&gt;Inputs!$B$21+Configurations!$C$15),0,IF(A5&lt;=Inputs!$B$21+Inputs!$B$5,D5*(1-Inputs!$B$10)*Inputs!$B$19/1000000,D5*Inputs!$B$18/1000000))</f>
        <v>0</v>
      </c>
      <c r="F5" s="13" t="n">
        <f aca="false">IF(OR(A5&lt;=Inputs!$B$21,A5&gt;Inputs!$B$21+Configurations!$C$15),0,Configurations!$C$12+Configurations!$C$13+Configurations!$C$14+Inputs!$B$20*E5)</f>
        <v>0</v>
      </c>
      <c r="G5" s="13" t="n">
        <f aca="false">E5-F5</f>
        <v>0</v>
      </c>
      <c r="H5" s="21" t="n">
        <f aca="false">IF(AND(A5&gt;Inputs!$B$21,A5&lt;=Inputs!$B$21+Inputs!$B$12),Capitalization!E$12,0)</f>
        <v>0</v>
      </c>
      <c r="I5" s="13" t="n">
        <f aca="false">G5-H5</f>
        <v>0</v>
      </c>
      <c r="J5" s="22" t="str">
        <f aca="false">IF(A5&lt;=Inputs!$B$21,"",IF(AND(A5&lt;=Inputs!$B$22,Capitalization!E$18&gt;0),Inputs!$B$25,Inputs!$B$26))</f>
        <v/>
      </c>
      <c r="K5" s="13" t="n">
        <f aca="false">IF(A5=0,-Capitalization!E$19,IF(A5&lt;=Inputs!$B$21,0,I5*J5-IF(AND(A5=Inputs!$B$22,Capitalization!E$18&gt;0),Inputs!$B$23,0)))</f>
        <v>-31.6434018356858</v>
      </c>
      <c r="L5" s="23" t="str">
        <f aca="false">IF(H5&gt;0,G5/H5,"")</f>
        <v/>
      </c>
      <c r="M5" s="13" t="n">
        <f aca="false">IF(A5=0,-Capitalization!E$4,IF(A5&lt;=Inputs!$B$21,0,G5))</f>
        <v>-339.4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IF(A6=0,"Equity",IF(A6&lt;=Inputs!$B$21,"Construction",IF(A6&lt;=Inputs!$B$21+Inputs!$B$5,"Queue wait",IF(A6&lt;=Inputs!$B$21+Configurations!$C$15,"Grid ops","—"))))</f>
        <v>Construction</v>
      </c>
      <c r="C6" s="4" t="str">
        <f aca="false">IF(A6&lt;=Inputs!$B$21,"",A6-Inputs!$B$21-1)</f>
        <v/>
      </c>
      <c r="D6" s="14" t="n">
        <f aca="false">IF(OR(A6&lt;=Inputs!$B$21,A6&gt;Inputs!$B$21+Configurations!$C$15),0,Configurations!$C$4*Configurations!$C$5*8760*(1-Configurations!$C$6)^C6*Configurations!$C$7*(1-Configurations!$C$8))</f>
        <v>0</v>
      </c>
      <c r="E6" s="13" t="n">
        <f aca="false">IF(OR(A6&lt;=Inputs!$B$21,A6&gt;Inputs!$B$21+Configurations!$C$15),0,IF(A6&lt;=Inputs!$B$21+Inputs!$B$5,D6*(1-Inputs!$B$10)*Inputs!$B$19/1000000,D6*Inputs!$B$18/1000000))</f>
        <v>0</v>
      </c>
      <c r="F6" s="13" t="n">
        <f aca="false">IF(OR(A6&lt;=Inputs!$B$21,A6&gt;Inputs!$B$21+Configurations!$C$15),0,Configurations!$C$12+Configurations!$C$13+Configurations!$C$14+Inputs!$B$20*E6)</f>
        <v>0</v>
      </c>
      <c r="G6" s="13" t="n">
        <f aca="false">E6-F6</f>
        <v>0</v>
      </c>
      <c r="H6" s="21" t="n">
        <f aca="false">IF(AND(A6&gt;Inputs!$B$21,A6&lt;=Inputs!$B$21+Inputs!$B$12),Capitalization!E$12,0)</f>
        <v>0</v>
      </c>
      <c r="I6" s="13" t="n">
        <f aca="false">G6-H6</f>
        <v>0</v>
      </c>
      <c r="J6" s="22" t="str">
        <f aca="false">IF(A6&lt;=Inputs!$B$21,"",IF(AND(A6&lt;=Inputs!$B$22,Capitalization!E$18&gt;0),Inputs!$B$25,Inputs!$B$26))</f>
        <v/>
      </c>
      <c r="K6" s="13" t="n">
        <f aca="false">IF(A6=0,-Capitalization!E$19,IF(A6&lt;=Inputs!$B$21,0,I6*J6-IF(AND(A6=Inputs!$B$22,Capitalization!E$18&gt;0),Inputs!$B$23,0)))</f>
        <v>0</v>
      </c>
      <c r="L6" s="23" t="str">
        <f aca="false">IF(H6&gt;0,G6/H6,"")</f>
        <v/>
      </c>
      <c r="M6" s="13" t="n">
        <f aca="false">IF(A6=0,-Capitalization!E$4,IF(A6&lt;=Inputs!$B$21,0,G6))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IF(A7=0,"Equity",IF(A7&lt;=Inputs!$B$21,"Construction",IF(A7&lt;=Inputs!$B$21+Inputs!$B$5,"Queue wait",IF(A7&lt;=Inputs!$B$21+Configurations!$C$15,"Grid ops","—"))))</f>
        <v>Construction</v>
      </c>
      <c r="C7" s="4" t="str">
        <f aca="false">IF(A7&lt;=Inputs!$B$21,"",A7-Inputs!$B$21-1)</f>
        <v/>
      </c>
      <c r="D7" s="14" t="n">
        <f aca="false">IF(OR(A7&lt;=Inputs!$B$21,A7&gt;Inputs!$B$21+Configurations!$C$15),0,Configurations!$C$4*Configurations!$C$5*8760*(1-Configurations!$C$6)^C7*Configurations!$C$7*(1-Configurations!$C$8))</f>
        <v>0</v>
      </c>
      <c r="E7" s="13" t="n">
        <f aca="false">IF(OR(A7&lt;=Inputs!$B$21,A7&gt;Inputs!$B$21+Configurations!$C$15),0,IF(A7&lt;=Inputs!$B$21+Inputs!$B$5,D7*(1-Inputs!$B$10)*Inputs!$B$19/1000000,D7*Inputs!$B$18/1000000))</f>
        <v>0</v>
      </c>
      <c r="F7" s="13" t="n">
        <f aca="false">IF(OR(A7&lt;=Inputs!$B$21,A7&gt;Inputs!$B$21+Configurations!$C$15),0,Configurations!$C$12+Configurations!$C$13+Configurations!$C$14+Inputs!$B$20*E7)</f>
        <v>0</v>
      </c>
      <c r="G7" s="13" t="n">
        <f aca="false">E7-F7</f>
        <v>0</v>
      </c>
      <c r="H7" s="21" t="n">
        <f aca="false">IF(AND(A7&gt;Inputs!$B$21,A7&lt;=Inputs!$B$21+Inputs!$B$12),Capitalization!E$12,0)</f>
        <v>0</v>
      </c>
      <c r="I7" s="13" t="n">
        <f aca="false">G7-H7</f>
        <v>0</v>
      </c>
      <c r="J7" s="22" t="str">
        <f aca="false">IF(A7&lt;=Inputs!$B$21,"",IF(AND(A7&lt;=Inputs!$B$22,Capitalization!E$18&gt;0),Inputs!$B$25,Inputs!$B$26))</f>
        <v/>
      </c>
      <c r="K7" s="13" t="n">
        <f aca="false">IF(A7=0,-Capitalization!E$19,IF(A7&lt;=Inputs!$B$21,0,I7*J7-IF(AND(A7=Inputs!$B$22,Capitalization!E$18&gt;0),Inputs!$B$23,0)))</f>
        <v>0</v>
      </c>
      <c r="L7" s="23" t="str">
        <f aca="false">IF(H7&gt;0,G7/H7,"")</f>
        <v/>
      </c>
      <c r="M7" s="13" t="n">
        <f aca="false">IF(A7=0,-Capitalization!E$4,IF(A7&lt;=Inputs!$B$21,0,G7))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IF(A8=0,"Equity",IF(A8&lt;=Inputs!$B$21,"Construction",IF(A8&lt;=Inputs!$B$21+Inputs!$B$5,"Queue wait",IF(A8&lt;=Inputs!$B$21+Configurations!$C$15,"Grid ops","—"))))</f>
        <v>Queue wait</v>
      </c>
      <c r="C8" s="4" t="n">
        <f aca="false">IF(A8&lt;=Inputs!$B$21,"",A8-Inputs!$B$21-1)</f>
        <v>0</v>
      </c>
      <c r="D8" s="14" t="n">
        <f aca="false">IF(OR(A8&lt;=Inputs!$B$21,A8&gt;Inputs!$B$21+Configurations!$C$15),0,Configurations!$C$4*Configurations!$C$5*8760*(1-Configurations!$C$6)^C8*Configurations!$C$7*(1-Configurations!$C$8))</f>
        <v>430466.4</v>
      </c>
      <c r="E8" s="13" t="n">
        <f aca="false">IF(OR(A8&lt;=Inputs!$B$21,A8&gt;Inputs!$B$21+Configurations!$C$15),0,IF(A8&lt;=Inputs!$B$21+Inputs!$B$5,D8*(1-Inputs!$B$10)*Inputs!$B$19/1000000,D8*Inputs!$B$18/1000000))</f>
        <v>25.56970416</v>
      </c>
      <c r="F8" s="13" t="n">
        <f aca="false">IF(OR(A8&lt;=Inputs!$B$21,A8&gt;Inputs!$B$21+Configurations!$C$15),0,Configurations!$C$12+Configurations!$C$13+Configurations!$C$14+Inputs!$B$20*E8)</f>
        <v>9.4695455624</v>
      </c>
      <c r="G8" s="13" t="n">
        <f aca="false">E8-F8</f>
        <v>16.1001585976</v>
      </c>
      <c r="H8" s="21" t="n">
        <f aca="false">IF(AND(A8&gt;Inputs!$B$21,A8&lt;=Inputs!$B$21+Inputs!$B$12),Capitalization!E$12,0)</f>
        <v>15.620420537621</v>
      </c>
      <c r="I8" s="13" t="n">
        <f aca="false">G8-H8</f>
        <v>0.479738059979013</v>
      </c>
      <c r="J8" s="22" t="n">
        <f aca="false">IF(A8&lt;=Inputs!$B$21,"",IF(AND(A8&lt;=Inputs!$B$22,Capitalization!E$18&gt;0),Inputs!$B$25,Inputs!$B$26))</f>
        <v>0.7</v>
      </c>
      <c r="K8" s="13" t="n">
        <f aca="false">IF(A8=0,-Capitalization!E$19,IF(A8&lt;=Inputs!$B$21,0,I8*J8-IF(AND(A8=Inputs!$B$22,Capitalization!E$18&gt;0),Inputs!$B$23,0)))</f>
        <v>0.335816641985309</v>
      </c>
      <c r="L8" s="23" t="n">
        <f aca="false">IF(H8&gt;0,G8/H8,"")</f>
        <v>1.03071223715287</v>
      </c>
      <c r="M8" s="13" t="n">
        <f aca="false">IF(A8=0,-Capitalization!E$4,IF(A8&lt;=Inputs!$B$21,0,G8))</f>
        <v>16.1001585976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IF(A9=0,"Equity",IF(A9&lt;=Inputs!$B$21,"Construction",IF(A9&lt;=Inputs!$B$21+Inputs!$B$5,"Queue wait",IF(A9&lt;=Inputs!$B$21+Configurations!$C$15,"Grid ops","—"))))</f>
        <v>Queue wait</v>
      </c>
      <c r="C9" s="4" t="n">
        <f aca="false">IF(A9&lt;=Inputs!$B$21,"",A9-Inputs!$B$21-1)</f>
        <v>1</v>
      </c>
      <c r="D9" s="14" t="n">
        <f aca="false">IF(OR(A9&lt;=Inputs!$B$21,A9&gt;Inputs!$B$21+Configurations!$C$15),0,Configurations!$C$4*Configurations!$C$5*8760*(1-Configurations!$C$6)^C9*Configurations!$C$7*(1-Configurations!$C$8))</f>
        <v>429605.4672</v>
      </c>
      <c r="E9" s="13" t="n">
        <f aca="false">IF(OR(A9&lt;=Inputs!$B$21,A9&gt;Inputs!$B$21+Configurations!$C$15),0,IF(A9&lt;=Inputs!$B$21+Inputs!$B$5,D9*(1-Inputs!$B$10)*Inputs!$B$19/1000000,D9*Inputs!$B$18/1000000))</f>
        <v>25.51856475168</v>
      </c>
      <c r="F9" s="13" t="n">
        <f aca="false">IF(OR(A9&lt;=Inputs!$B$21,A9&gt;Inputs!$B$21+Configurations!$C$15),0,Configurations!$C$12+Configurations!$C$13+Configurations!$C$14+Inputs!$B$20*E9)</f>
        <v>9.4687784712752</v>
      </c>
      <c r="G9" s="13" t="n">
        <f aca="false">E9-F9</f>
        <v>16.0497862804048</v>
      </c>
      <c r="H9" s="21" t="n">
        <f aca="false">IF(AND(A9&gt;Inputs!$B$21,A9&lt;=Inputs!$B$21+Inputs!$B$12),Capitalization!E$12,0)</f>
        <v>15.620420537621</v>
      </c>
      <c r="I9" s="13" t="n">
        <f aca="false">G9-H9</f>
        <v>0.429365742783812</v>
      </c>
      <c r="J9" s="22" t="n">
        <f aca="false">IF(A9&lt;=Inputs!$B$21,"",IF(AND(A9&lt;=Inputs!$B$22,Capitalization!E$18&gt;0),Inputs!$B$25,Inputs!$B$26))</f>
        <v>0.7</v>
      </c>
      <c r="K9" s="13" t="n">
        <f aca="false">IF(A9=0,-Capitalization!E$19,IF(A9&lt;=Inputs!$B$21,0,I9*J9-IF(AND(A9=Inputs!$B$22,Capitalization!E$18&gt;0),Inputs!$B$23,0)))</f>
        <v>0.300556019948668</v>
      </c>
      <c r="L9" s="23" t="n">
        <f aca="false">IF(H9&gt;0,G9/H9,"")</f>
        <v>1.02748746371775</v>
      </c>
      <c r="M9" s="13" t="n">
        <f aca="false">IF(A9=0,-Capitalization!E$4,IF(A9&lt;=Inputs!$B$21,0,G9))</f>
        <v>16.0497862804048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IF(A10=0,"Equity",IF(A10&lt;=Inputs!$B$21,"Construction",IF(A10&lt;=Inputs!$B$21+Inputs!$B$5,"Queue wait",IF(A10&lt;=Inputs!$B$21+Configurations!$C$15,"Grid ops","—"))))</f>
        <v>Queue wait</v>
      </c>
      <c r="C10" s="4" t="n">
        <f aca="false">IF(A10&lt;=Inputs!$B$21,"",A10-Inputs!$B$21-1)</f>
        <v>2</v>
      </c>
      <c r="D10" s="14" t="n">
        <f aca="false">IF(OR(A10&lt;=Inputs!$B$21,A10&gt;Inputs!$B$21+Configurations!$C$15),0,Configurations!$C$4*Configurations!$C$5*8760*(1-Configurations!$C$6)^C10*Configurations!$C$7*(1-Configurations!$C$8))</f>
        <v>428746.2562656</v>
      </c>
      <c r="E10" s="13" t="n">
        <f aca="false">IF(OR(A10&lt;=Inputs!$B$21,A10&gt;Inputs!$B$21+Configurations!$C$15),0,IF(A10&lt;=Inputs!$B$21+Inputs!$B$5,D10*(1-Inputs!$B$10)*Inputs!$B$19/1000000,D10*Inputs!$B$18/1000000))</f>
        <v>25.4675276221766</v>
      </c>
      <c r="F10" s="13" t="n">
        <f aca="false">IF(OR(A10&lt;=Inputs!$B$21,A10&gt;Inputs!$B$21+Configurations!$C$15),0,Configurations!$C$12+Configurations!$C$13+Configurations!$C$14+Inputs!$B$20*E10)</f>
        <v>9.46801291433265</v>
      </c>
      <c r="G10" s="13" t="n">
        <f aca="false">E10-F10</f>
        <v>15.999514707844</v>
      </c>
      <c r="H10" s="21" t="n">
        <f aca="false">IF(AND(A10&gt;Inputs!$B$21,A10&lt;=Inputs!$B$21+Inputs!$B$12),Capitalization!E$12,0)</f>
        <v>15.620420537621</v>
      </c>
      <c r="I10" s="13" t="n">
        <f aca="false">G10-H10</f>
        <v>0.379094170222995</v>
      </c>
      <c r="J10" s="22" t="n">
        <f aca="false">IF(A10&lt;=Inputs!$B$21,"",IF(AND(A10&lt;=Inputs!$B$22,Capitalization!E$18&gt;0),Inputs!$B$25,Inputs!$B$26))</f>
        <v>0.7</v>
      </c>
      <c r="K10" s="13" t="n">
        <f aca="false">IF(A10=0,-Capitalization!E$19,IF(A10&lt;=Inputs!$B$21,0,I10*J10-IF(AND(A10=Inputs!$B$22,Capitalization!E$18&gt;0),Inputs!$B$23,0)))</f>
        <v>0.265365919156097</v>
      </c>
      <c r="L10" s="23" t="n">
        <f aca="false">IF(H10&gt;0,G10/H10,"")</f>
        <v>1.02426913982949</v>
      </c>
      <c r="M10" s="13" t="n">
        <f aca="false">IF(A10=0,-Capitalization!E$4,IF(A10&lt;=Inputs!$B$21,0,G10))</f>
        <v>15.999514707844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IF(A11=0,"Equity",IF(A11&lt;=Inputs!$B$21,"Construction",IF(A11&lt;=Inputs!$B$21+Inputs!$B$5,"Queue wait",IF(A11&lt;=Inputs!$B$21+Configurations!$C$15,"Grid ops","—"))))</f>
        <v>Queue wait</v>
      </c>
      <c r="C11" s="4" t="n">
        <f aca="false">IF(A11&lt;=Inputs!$B$21,"",A11-Inputs!$B$21-1)</f>
        <v>3</v>
      </c>
      <c r="D11" s="14" t="n">
        <f aca="false">IF(OR(A11&lt;=Inputs!$B$21,A11&gt;Inputs!$B$21+Configurations!$C$15),0,Configurations!$C$4*Configurations!$C$5*8760*(1-Configurations!$C$6)^C11*Configurations!$C$7*(1-Configurations!$C$8))</f>
        <v>427888.763753069</v>
      </c>
      <c r="E11" s="13" t="n">
        <f aca="false">IF(OR(A11&lt;=Inputs!$B$21,A11&gt;Inputs!$B$21+Configurations!$C$15),0,IF(A11&lt;=Inputs!$B$21+Inputs!$B$5,D11*(1-Inputs!$B$10)*Inputs!$B$19/1000000,D11*Inputs!$B$18/1000000))</f>
        <v>25.4165925669323</v>
      </c>
      <c r="F11" s="13" t="n">
        <f aca="false">IF(OR(A11&lt;=Inputs!$B$21,A11&gt;Inputs!$B$21+Configurations!$C$15),0,Configurations!$C$12+Configurations!$C$13+Configurations!$C$14+Inputs!$B$20*E11)</f>
        <v>9.46724888850399</v>
      </c>
      <c r="G11" s="13" t="n">
        <f aca="false">E11-F11</f>
        <v>15.9493436784283</v>
      </c>
      <c r="H11" s="21" t="n">
        <f aca="false">IF(AND(A11&gt;Inputs!$B$21,A11&lt;=Inputs!$B$21+Inputs!$B$12),Capitalization!E$12,0)</f>
        <v>15.620420537621</v>
      </c>
      <c r="I11" s="13" t="n">
        <f aca="false">G11-H11</f>
        <v>0.328923140807312</v>
      </c>
      <c r="J11" s="22" t="n">
        <f aca="false">IF(A11&lt;=Inputs!$B$21,"",IF(AND(A11&lt;=Inputs!$B$22,Capitalization!E$18&gt;0),Inputs!$B$25,Inputs!$B$26))</f>
        <v>0.7</v>
      </c>
      <c r="K11" s="13" t="n">
        <f aca="false">IF(A11=0,-Capitalization!E$19,IF(A11&lt;=Inputs!$B$21,0,I11*J11-IF(AND(A11=Inputs!$B$22,Capitalization!E$18&gt;0),Inputs!$B$23,0)))</f>
        <v>-0.769753801434882</v>
      </c>
      <c r="L11" s="23" t="n">
        <f aca="false">IF(H11&gt;0,G11/H11,"")</f>
        <v>1.02105725258901</v>
      </c>
      <c r="M11" s="13" t="n">
        <f aca="false">IF(A11=0,-Capitalization!E$4,IF(A11&lt;=Inputs!$B$21,0,G11))</f>
        <v>15.9493436784283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IF(A12=0,"Equity",IF(A12&lt;=Inputs!$B$21,"Construction",IF(A12&lt;=Inputs!$B$21+Inputs!$B$5,"Queue wait",IF(A12&lt;=Inputs!$B$21+Configurations!$C$15,"Grid ops","—"))))</f>
        <v>Grid ops</v>
      </c>
      <c r="C12" s="4" t="n">
        <f aca="false">IF(A12&lt;=Inputs!$B$21,"",A12-Inputs!$B$21-1)</f>
        <v>4</v>
      </c>
      <c r="D12" s="14" t="n">
        <f aca="false">IF(OR(A12&lt;=Inputs!$B$21,A12&gt;Inputs!$B$21+Configurations!$C$15),0,Configurations!$C$4*Configurations!$C$5*8760*(1-Configurations!$C$6)^C12*Configurations!$C$7*(1-Configurations!$C$8))</f>
        <v>427032.986225563</v>
      </c>
      <c r="E12" s="13" t="n">
        <f aca="false">IF(OR(A12&lt;=Inputs!$B$21,A12&gt;Inputs!$B$21+Configurations!$C$15),0,IF(A12&lt;=Inputs!$B$21+Inputs!$B$5,D12*(1-Inputs!$B$10)*Inputs!$B$19/1000000,D12*Inputs!$B$18/1000000))</f>
        <v>30.7463750082405</v>
      </c>
      <c r="F12" s="13" t="n">
        <f aca="false">IF(OR(A12&lt;=Inputs!$B$21,A12&gt;Inputs!$B$21+Configurations!$C$15),0,Configurations!$C$12+Configurations!$C$13+Configurations!$C$14+Inputs!$B$20*E12)</f>
        <v>9.54719562512361</v>
      </c>
      <c r="G12" s="13" t="n">
        <f aca="false">E12-F12</f>
        <v>21.1991793831169</v>
      </c>
      <c r="H12" s="21" t="n">
        <f aca="false">IF(AND(A12&gt;Inputs!$B$21,A12&lt;=Inputs!$B$21+Inputs!$B$12),Capitalization!E$12,0)</f>
        <v>15.620420537621</v>
      </c>
      <c r="I12" s="13" t="n">
        <f aca="false">G12-H12</f>
        <v>5.57875884549591</v>
      </c>
      <c r="J12" s="22" t="n">
        <f aca="false">IF(A12&lt;=Inputs!$B$21,"",IF(AND(A12&lt;=Inputs!$B$22,Capitalization!E$18&gt;0),Inputs!$B$25,Inputs!$B$26))</f>
        <v>0.975</v>
      </c>
      <c r="K12" s="13" t="n">
        <f aca="false">IF(A12=0,-Capitalization!E$19,IF(A12&lt;=Inputs!$B$21,0,I12*J12-IF(AND(A12=Inputs!$B$22,Capitalization!E$18&gt;0),Inputs!$B$23,0)))</f>
        <v>5.43928987435851</v>
      </c>
      <c r="L12" s="23" t="n">
        <f aca="false">IF(H12&gt;0,G12/H12,"")</f>
        <v>1.35714524023599</v>
      </c>
      <c r="M12" s="13" t="n">
        <f aca="false">IF(A12=0,-Capitalization!E$4,IF(A12&lt;=Inputs!$B$21,0,G12))</f>
        <v>21.1991793831169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IF(A13=0,"Equity",IF(A13&lt;=Inputs!$B$21,"Construction",IF(A13&lt;=Inputs!$B$21+Inputs!$B$5,"Queue wait",IF(A13&lt;=Inputs!$B$21+Configurations!$C$15,"Grid ops","—"))))</f>
        <v>Grid ops</v>
      </c>
      <c r="C13" s="4" t="n">
        <f aca="false">IF(A13&lt;=Inputs!$B$21,"",A13-Inputs!$B$21-1)</f>
        <v>5</v>
      </c>
      <c r="D13" s="14" t="n">
        <f aca="false">IF(OR(A13&lt;=Inputs!$B$21,A13&gt;Inputs!$B$21+Configurations!$C$15),0,Configurations!$C$4*Configurations!$C$5*8760*(1-Configurations!$C$6)^C13*Configurations!$C$7*(1-Configurations!$C$8))</f>
        <v>426178.920253112</v>
      </c>
      <c r="E13" s="13" t="n">
        <f aca="false">IF(OR(A13&lt;=Inputs!$B$21,A13&gt;Inputs!$B$21+Configurations!$C$15),0,IF(A13&lt;=Inputs!$B$21+Inputs!$B$5,D13*(1-Inputs!$B$10)*Inputs!$B$19/1000000,D13*Inputs!$B$18/1000000))</f>
        <v>30.684882258224</v>
      </c>
      <c r="F13" s="13" t="n">
        <f aca="false">IF(OR(A13&lt;=Inputs!$B$21,A13&gt;Inputs!$B$21+Configurations!$C$15),0,Configurations!$C$12+Configurations!$C$13+Configurations!$C$14+Inputs!$B$20*E13)</f>
        <v>9.54627323387336</v>
      </c>
      <c r="G13" s="13" t="n">
        <f aca="false">E13-F13</f>
        <v>21.1386090243507</v>
      </c>
      <c r="H13" s="21" t="n">
        <f aca="false">IF(AND(A13&gt;Inputs!$B$21,A13&lt;=Inputs!$B$21+Inputs!$B$12),Capitalization!E$12,0)</f>
        <v>15.620420537621</v>
      </c>
      <c r="I13" s="13" t="n">
        <f aca="false">G13-H13</f>
        <v>5.51818848672968</v>
      </c>
      <c r="J13" s="22" t="n">
        <f aca="false">IF(A13&lt;=Inputs!$B$21,"",IF(AND(A13&lt;=Inputs!$B$22,Capitalization!E$18&gt;0),Inputs!$B$25,Inputs!$B$26))</f>
        <v>0.975</v>
      </c>
      <c r="K13" s="13" t="n">
        <f aca="false">IF(A13=0,-Capitalization!E$19,IF(A13&lt;=Inputs!$B$21,0,I13*J13-IF(AND(A13=Inputs!$B$22,Capitalization!E$18&gt;0),Inputs!$B$23,0)))</f>
        <v>5.38023377456144</v>
      </c>
      <c r="L13" s="23" t="n">
        <f aca="false">IF(H13&gt;0,G13/H13,"")</f>
        <v>1.3532676007947</v>
      </c>
      <c r="M13" s="13" t="n">
        <f aca="false">IF(A13=0,-Capitalization!E$4,IF(A13&lt;=Inputs!$B$21,0,G13))</f>
        <v>21.1386090243507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IF(A14=0,"Equity",IF(A14&lt;=Inputs!$B$21,"Construction",IF(A14&lt;=Inputs!$B$21+Inputs!$B$5,"Queue wait",IF(A14&lt;=Inputs!$B$21+Configurations!$C$15,"Grid ops","—"))))</f>
        <v>Grid ops</v>
      </c>
      <c r="C14" s="4" t="n">
        <f aca="false">IF(A14&lt;=Inputs!$B$21,"",A14-Inputs!$B$21-1)</f>
        <v>6</v>
      </c>
      <c r="D14" s="14" t="n">
        <f aca="false">IF(OR(A14&lt;=Inputs!$B$21,A14&gt;Inputs!$B$21+Configurations!$C$15),0,Configurations!$C$4*Configurations!$C$5*8760*(1-Configurations!$C$6)^C14*Configurations!$C$7*(1-Configurations!$C$8))</f>
        <v>425326.562412605</v>
      </c>
      <c r="E14" s="13" t="n">
        <f aca="false">IF(OR(A14&lt;=Inputs!$B$21,A14&gt;Inputs!$B$21+Configurations!$C$15),0,IF(A14&lt;=Inputs!$B$21+Inputs!$B$5,D14*(1-Inputs!$B$10)*Inputs!$B$19/1000000,D14*Inputs!$B$18/1000000))</f>
        <v>30.6235124937076</v>
      </c>
      <c r="F14" s="13" t="n">
        <f aca="false">IF(OR(A14&lt;=Inputs!$B$21,A14&gt;Inputs!$B$21+Configurations!$C$15),0,Configurations!$C$12+Configurations!$C$13+Configurations!$C$14+Inputs!$B$20*E14)</f>
        <v>9.54535268740561</v>
      </c>
      <c r="G14" s="13" t="n">
        <f aca="false">E14-F14</f>
        <v>21.078159806302</v>
      </c>
      <c r="H14" s="21" t="n">
        <f aca="false">IF(AND(A14&gt;Inputs!$B$21,A14&lt;=Inputs!$B$21+Inputs!$B$12),Capitalization!E$12,0)</f>
        <v>15.620420537621</v>
      </c>
      <c r="I14" s="13" t="n">
        <f aca="false">G14-H14</f>
        <v>5.45773926868098</v>
      </c>
      <c r="J14" s="22" t="n">
        <f aca="false">IF(A14&lt;=Inputs!$B$21,"",IF(AND(A14&lt;=Inputs!$B$22,Capitalization!E$18&gt;0),Inputs!$B$25,Inputs!$B$26))</f>
        <v>0.975</v>
      </c>
      <c r="K14" s="13" t="n">
        <f aca="false">IF(A14=0,-Capitalization!E$19,IF(A14&lt;=Inputs!$B$21,0,I14*J14-IF(AND(A14=Inputs!$B$22,Capitalization!E$18&gt;0),Inputs!$B$23,0)))</f>
        <v>5.32129578696395</v>
      </c>
      <c r="L14" s="23" t="n">
        <f aca="false">IF(H14&gt;0,G14/H14,"")</f>
        <v>1.3493977166323</v>
      </c>
      <c r="M14" s="13" t="n">
        <f aca="false">IF(A14=0,-Capitalization!E$4,IF(A14&lt;=Inputs!$B$21,0,G14))</f>
        <v>21.078159806302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IF(A15=0,"Equity",IF(A15&lt;=Inputs!$B$21,"Construction",IF(A15&lt;=Inputs!$B$21+Inputs!$B$5,"Queue wait",IF(A15&lt;=Inputs!$B$21+Configurations!$C$15,"Grid ops","—"))))</f>
        <v>Grid ops</v>
      </c>
      <c r="C15" s="4" t="n">
        <f aca="false">IF(A15&lt;=Inputs!$B$21,"",A15-Inputs!$B$21-1)</f>
        <v>7</v>
      </c>
      <c r="D15" s="14" t="n">
        <f aca="false">IF(OR(A15&lt;=Inputs!$B$21,A15&gt;Inputs!$B$21+Configurations!$C$15),0,Configurations!$C$4*Configurations!$C$5*8760*(1-Configurations!$C$6)^C15*Configurations!$C$7*(1-Configurations!$C$8))</f>
        <v>424475.90928778</v>
      </c>
      <c r="E15" s="13" t="n">
        <f aca="false">IF(OR(A15&lt;=Inputs!$B$21,A15&gt;Inputs!$B$21+Configurations!$C$15),0,IF(A15&lt;=Inputs!$B$21+Inputs!$B$5,D15*(1-Inputs!$B$10)*Inputs!$B$19/1000000,D15*Inputs!$B$18/1000000))</f>
        <v>30.5622654687202</v>
      </c>
      <c r="F15" s="13" t="n">
        <f aca="false">IF(OR(A15&lt;=Inputs!$B$21,A15&gt;Inputs!$B$21+Configurations!$C$15),0,Configurations!$C$12+Configurations!$C$13+Configurations!$C$14+Inputs!$B$20*E15)</f>
        <v>9.5444339820308</v>
      </c>
      <c r="G15" s="13" t="n">
        <f aca="false">E15-F15</f>
        <v>21.0178314866894</v>
      </c>
      <c r="H15" s="21" t="n">
        <f aca="false">IF(AND(A15&gt;Inputs!$B$21,A15&lt;=Inputs!$B$21+Inputs!$B$12),Capitalization!E$12,0)</f>
        <v>15.620420537621</v>
      </c>
      <c r="I15" s="13" t="n">
        <f aca="false">G15-H15</f>
        <v>5.39741094906837</v>
      </c>
      <c r="J15" s="22" t="n">
        <f aca="false">IF(A15&lt;=Inputs!$B$21,"",IF(AND(A15&lt;=Inputs!$B$22,Capitalization!E$18&gt;0),Inputs!$B$25,Inputs!$B$26))</f>
        <v>0.975</v>
      </c>
      <c r="K15" s="13" t="n">
        <f aca="false">IF(A15=0,-Capitalization!E$19,IF(A15&lt;=Inputs!$B$21,0,I15*J15-IF(AND(A15=Inputs!$B$22,Capitalization!E$18&gt;0),Inputs!$B$23,0)))</f>
        <v>5.26247567534166</v>
      </c>
      <c r="L15" s="23" t="n">
        <f aca="false">IF(H15&gt;0,G15/H15,"")</f>
        <v>1.34553557223821</v>
      </c>
      <c r="M15" s="13" t="n">
        <f aca="false">IF(A15=0,-Capitalization!E$4,IF(A15&lt;=Inputs!$B$21,0,G15))</f>
        <v>21.0178314866894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IF(A16=0,"Equity",IF(A16&lt;=Inputs!$B$21,"Construction",IF(A16&lt;=Inputs!$B$21+Inputs!$B$5,"Queue wait",IF(A16&lt;=Inputs!$B$21+Configurations!$C$15,"Grid ops","—"))))</f>
        <v>Grid ops</v>
      </c>
      <c r="C16" s="4" t="n">
        <f aca="false">IF(A16&lt;=Inputs!$B$21,"",A16-Inputs!$B$21-1)</f>
        <v>8</v>
      </c>
      <c r="D16" s="14" t="n">
        <f aca="false">IF(OR(A16&lt;=Inputs!$B$21,A16&gt;Inputs!$B$21+Configurations!$C$15),0,Configurations!$C$4*Configurations!$C$5*8760*(1-Configurations!$C$6)^C16*Configurations!$C$7*(1-Configurations!$C$8))</f>
        <v>423626.957469205</v>
      </c>
      <c r="E16" s="13" t="n">
        <f aca="false">IF(OR(A16&lt;=Inputs!$B$21,A16&gt;Inputs!$B$21+Configurations!$C$15),0,IF(A16&lt;=Inputs!$B$21+Inputs!$B$5,D16*(1-Inputs!$B$10)*Inputs!$B$19/1000000,D16*Inputs!$B$18/1000000))</f>
        <v>30.5011409377827</v>
      </c>
      <c r="F16" s="13" t="n">
        <f aca="false">IF(OR(A16&lt;=Inputs!$B$21,A16&gt;Inputs!$B$21+Configurations!$C$15),0,Configurations!$C$12+Configurations!$C$13+Configurations!$C$14+Inputs!$B$20*E16)</f>
        <v>9.54351711406674</v>
      </c>
      <c r="G16" s="13" t="n">
        <f aca="false">E16-F16</f>
        <v>20.957623823716</v>
      </c>
      <c r="H16" s="21" t="n">
        <f aca="false">IF(AND(A16&gt;Inputs!$B$21,A16&lt;=Inputs!$B$21+Inputs!$B$12),Capitalization!E$12,0)</f>
        <v>15.620420537621</v>
      </c>
      <c r="I16" s="13" t="n">
        <f aca="false">G16-H16</f>
        <v>5.337203286095</v>
      </c>
      <c r="J16" s="22" t="n">
        <f aca="false">IF(A16&lt;=Inputs!$B$21,"",IF(AND(A16&lt;=Inputs!$B$22,Capitalization!E$18&gt;0),Inputs!$B$25,Inputs!$B$26))</f>
        <v>0.975</v>
      </c>
      <c r="K16" s="13" t="n">
        <f aca="false">IF(A16=0,-Capitalization!E$19,IF(A16&lt;=Inputs!$B$21,0,I16*J16-IF(AND(A16=Inputs!$B$22,Capitalization!E$18&gt;0),Inputs!$B$23,0)))</f>
        <v>5.20377320394262</v>
      </c>
      <c r="L16" s="23" t="n">
        <f aca="false">IF(H16&gt;0,G16/H16,"")</f>
        <v>1.34168115213292</v>
      </c>
      <c r="M16" s="13" t="n">
        <f aca="false">IF(A16=0,-Capitalization!E$4,IF(A16&lt;=Inputs!$B$21,0,G16))</f>
        <v>20.957623823716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IF(A17=0,"Equity",IF(A17&lt;=Inputs!$B$21,"Construction",IF(A17&lt;=Inputs!$B$21+Inputs!$B$5,"Queue wait",IF(A17&lt;=Inputs!$B$21+Configurations!$C$15,"Grid ops","—"))))</f>
        <v>Grid ops</v>
      </c>
      <c r="C17" s="4" t="n">
        <f aca="false">IF(A17&lt;=Inputs!$B$21,"",A17-Inputs!$B$21-1)</f>
        <v>9</v>
      </c>
      <c r="D17" s="14" t="n">
        <f aca="false">IF(OR(A17&lt;=Inputs!$B$21,A17&gt;Inputs!$B$21+Configurations!$C$15),0,Configurations!$C$4*Configurations!$C$5*8760*(1-Configurations!$C$6)^C17*Configurations!$C$7*(1-Configurations!$C$8))</f>
        <v>422779.703554266</v>
      </c>
      <c r="E17" s="13" t="n">
        <f aca="false">IF(OR(A17&lt;=Inputs!$B$21,A17&gt;Inputs!$B$21+Configurations!$C$15),0,IF(A17&lt;=Inputs!$B$21+Inputs!$B$5,D17*(1-Inputs!$B$10)*Inputs!$B$19/1000000,D17*Inputs!$B$18/1000000))</f>
        <v>30.4401386559072</v>
      </c>
      <c r="F17" s="13" t="n">
        <f aca="false">IF(OR(A17&lt;=Inputs!$B$21,A17&gt;Inputs!$B$21+Configurations!$C$15),0,Configurations!$C$12+Configurations!$C$13+Configurations!$C$14+Inputs!$B$20*E17)</f>
        <v>9.54260207983861</v>
      </c>
      <c r="G17" s="13" t="n">
        <f aca="false">E17-F17</f>
        <v>20.8975365760686</v>
      </c>
      <c r="H17" s="21" t="n">
        <f aca="false">IF(AND(A17&gt;Inputs!$B$21,A17&lt;=Inputs!$B$21+Inputs!$B$12),Capitalization!E$12,0)</f>
        <v>15.620420537621</v>
      </c>
      <c r="I17" s="13" t="n">
        <f aca="false">G17-H17</f>
        <v>5.27711603844757</v>
      </c>
      <c r="J17" s="22" t="n">
        <f aca="false">IF(A17&lt;=Inputs!$B$21,"",IF(AND(A17&lt;=Inputs!$B$22,Capitalization!E$18&gt;0),Inputs!$B$25,Inputs!$B$26))</f>
        <v>0.975</v>
      </c>
      <c r="K17" s="13" t="n">
        <f aca="false">IF(A17=0,-Capitalization!E$19,IF(A17&lt;=Inputs!$B$21,0,I17*J17-IF(AND(A17=Inputs!$B$22,Capitalization!E$18&gt;0),Inputs!$B$23,0)))</f>
        <v>5.14518813748638</v>
      </c>
      <c r="L17" s="23" t="n">
        <f aca="false">IF(H17&gt;0,G17/H17,"")</f>
        <v>1.33783444086783</v>
      </c>
      <c r="M17" s="13" t="n">
        <f aca="false">IF(A17=0,-Capitalization!E$4,IF(A17&lt;=Inputs!$B$21,0,G17))</f>
        <v>20.8975365760686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IF(A18=0,"Equity",IF(A18&lt;=Inputs!$B$21,"Construction",IF(A18&lt;=Inputs!$B$21+Inputs!$B$5,"Queue wait",IF(A18&lt;=Inputs!$B$21+Configurations!$C$15,"Grid ops","—"))))</f>
        <v>Grid ops</v>
      </c>
      <c r="C18" s="4" t="n">
        <f aca="false">IF(A18&lt;=Inputs!$B$21,"",A18-Inputs!$B$21-1)</f>
        <v>10</v>
      </c>
      <c r="D18" s="14" t="n">
        <f aca="false">IF(OR(A18&lt;=Inputs!$B$21,A18&gt;Inputs!$B$21+Configurations!$C$15),0,Configurations!$C$4*Configurations!$C$5*8760*(1-Configurations!$C$6)^C18*Configurations!$C$7*(1-Configurations!$C$8))</f>
        <v>421934.144147158</v>
      </c>
      <c r="E18" s="13" t="n">
        <f aca="false">IF(OR(A18&lt;=Inputs!$B$21,A18&gt;Inputs!$B$21+Configurations!$C$15),0,IF(A18&lt;=Inputs!$B$21+Inputs!$B$5,D18*(1-Inputs!$B$10)*Inputs!$B$19/1000000,D18*Inputs!$B$18/1000000))</f>
        <v>30.3792583785953</v>
      </c>
      <c r="F18" s="13" t="n">
        <f aca="false">IF(OR(A18&lt;=Inputs!$B$21,A18&gt;Inputs!$B$21+Configurations!$C$15),0,Configurations!$C$12+Configurations!$C$13+Configurations!$C$14+Inputs!$B$20*E18)</f>
        <v>9.54168887567893</v>
      </c>
      <c r="G18" s="13" t="n">
        <f aca="false">E18-F18</f>
        <v>20.8375695029164</v>
      </c>
      <c r="H18" s="21" t="n">
        <f aca="false">IF(AND(A18&gt;Inputs!$B$21,A18&lt;=Inputs!$B$21+Inputs!$B$12),Capitalization!E$12,0)</f>
        <v>15.620420537621</v>
      </c>
      <c r="I18" s="13" t="n">
        <f aca="false">G18-H18</f>
        <v>5.21714896529543</v>
      </c>
      <c r="J18" s="22" t="n">
        <f aca="false">IF(A18&lt;=Inputs!$B$21,"",IF(AND(A18&lt;=Inputs!$B$22,Capitalization!E$18&gt;0),Inputs!$B$25,Inputs!$B$26))</f>
        <v>0.975</v>
      </c>
      <c r="K18" s="13" t="n">
        <f aca="false">IF(A18=0,-Capitalization!E$19,IF(A18&lt;=Inputs!$B$21,0,I18*J18-IF(AND(A18=Inputs!$B$22,Capitalization!E$18&gt;0),Inputs!$B$23,0)))</f>
        <v>5.08672024116304</v>
      </c>
      <c r="L18" s="23" t="n">
        <f aca="false">IF(H18&gt;0,G18/H18,"")</f>
        <v>1.33399542302528</v>
      </c>
      <c r="M18" s="13" t="n">
        <f aca="false">IF(A18=0,-Capitalization!E$4,IF(A18&lt;=Inputs!$B$21,0,G18))</f>
        <v>20.8375695029164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IF(A19=0,"Equity",IF(A19&lt;=Inputs!$B$21,"Construction",IF(A19&lt;=Inputs!$B$21+Inputs!$B$5,"Queue wait",IF(A19&lt;=Inputs!$B$21+Configurations!$C$15,"Grid ops","—"))))</f>
        <v>Grid ops</v>
      </c>
      <c r="C19" s="4" t="n">
        <f aca="false">IF(A19&lt;=Inputs!$B$21,"",A19-Inputs!$B$21-1)</f>
        <v>11</v>
      </c>
      <c r="D19" s="14" t="n">
        <f aca="false">IF(OR(A19&lt;=Inputs!$B$21,A19&gt;Inputs!$B$21+Configurations!$C$15),0,Configurations!$C$4*Configurations!$C$5*8760*(1-Configurations!$C$6)^C19*Configurations!$C$7*(1-Configurations!$C$8))</f>
        <v>421090.275858863</v>
      </c>
      <c r="E19" s="13" t="n">
        <f aca="false">IF(OR(A19&lt;=Inputs!$B$21,A19&gt;Inputs!$B$21+Configurations!$C$15),0,IF(A19&lt;=Inputs!$B$21+Inputs!$B$5,D19*(1-Inputs!$B$10)*Inputs!$B$19/1000000,D19*Inputs!$B$18/1000000))</f>
        <v>30.3184998618382</v>
      </c>
      <c r="F19" s="13" t="n">
        <f aca="false">IF(OR(A19&lt;=Inputs!$B$21,A19&gt;Inputs!$B$21+Configurations!$C$15),0,Configurations!$C$12+Configurations!$C$13+Configurations!$C$14+Inputs!$B$20*E19)</f>
        <v>9.54077749792757</v>
      </c>
      <c r="G19" s="13" t="n">
        <f aca="false">E19-F19</f>
        <v>20.7777223639106</v>
      </c>
      <c r="H19" s="21" t="n">
        <f aca="false">IF(AND(A19&gt;Inputs!$B$21,A19&lt;=Inputs!$B$21+Inputs!$B$12),Capitalization!E$12,0)</f>
        <v>15.620420537621</v>
      </c>
      <c r="I19" s="13" t="n">
        <f aca="false">G19-H19</f>
        <v>5.15730182628959</v>
      </c>
      <c r="J19" s="22" t="n">
        <f aca="false">IF(A19&lt;=Inputs!$B$21,"",IF(AND(A19&lt;=Inputs!$B$22,Capitalization!E$18&gt;0),Inputs!$B$25,Inputs!$B$26))</f>
        <v>0.975</v>
      </c>
      <c r="K19" s="13" t="n">
        <f aca="false">IF(A19=0,-Capitalization!E$19,IF(A19&lt;=Inputs!$B$21,0,I19*J19-IF(AND(A19=Inputs!$B$22,Capitalization!E$18&gt;0),Inputs!$B$23,0)))</f>
        <v>5.02836928063235</v>
      </c>
      <c r="L19" s="23" t="n">
        <f aca="false">IF(H19&gt;0,G19/H19,"")</f>
        <v>1.33016408321841</v>
      </c>
      <c r="M19" s="13" t="n">
        <f aca="false">IF(A19=0,-Capitalization!E$4,IF(A19&lt;=Inputs!$B$21,0,G19))</f>
        <v>20.7777223639106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IF(A20=0,"Equity",IF(A20&lt;=Inputs!$B$21,"Construction",IF(A20&lt;=Inputs!$B$21+Inputs!$B$5,"Queue wait",IF(A20&lt;=Inputs!$B$21+Configurations!$C$15,"Grid ops","—"))))</f>
        <v>Grid ops</v>
      </c>
      <c r="C20" s="4" t="n">
        <f aca="false">IF(A20&lt;=Inputs!$B$21,"",A20-Inputs!$B$21-1)</f>
        <v>12</v>
      </c>
      <c r="D20" s="14" t="n">
        <f aca="false">IF(OR(A20&lt;=Inputs!$B$21,A20&gt;Inputs!$B$21+Configurations!$C$15),0,Configurations!$C$4*Configurations!$C$5*8760*(1-Configurations!$C$6)^C20*Configurations!$C$7*(1-Configurations!$C$8))</f>
        <v>420248.095307146</v>
      </c>
      <c r="E20" s="13" t="n">
        <f aca="false">IF(OR(A20&lt;=Inputs!$B$21,A20&gt;Inputs!$B$21+Configurations!$C$15),0,IF(A20&lt;=Inputs!$B$21+Inputs!$B$5,D20*(1-Inputs!$B$10)*Inputs!$B$19/1000000,D20*Inputs!$B$18/1000000))</f>
        <v>30.2578628621145</v>
      </c>
      <c r="F20" s="13" t="n">
        <f aca="false">IF(OR(A20&lt;=Inputs!$B$21,A20&gt;Inputs!$B$21+Configurations!$C$15),0,Configurations!$C$12+Configurations!$C$13+Configurations!$C$14+Inputs!$B$20*E20)</f>
        <v>9.53986794293172</v>
      </c>
      <c r="G20" s="13" t="n">
        <f aca="false">E20-F20</f>
        <v>20.7179949191828</v>
      </c>
      <c r="H20" s="21" t="n">
        <f aca="false">IF(AND(A20&gt;Inputs!$B$21,A20&lt;=Inputs!$B$21+Inputs!$B$12),Capitalization!E$12,0)</f>
        <v>15.620420537621</v>
      </c>
      <c r="I20" s="13" t="n">
        <f aca="false">G20-H20</f>
        <v>5.09757438156178</v>
      </c>
      <c r="J20" s="22" t="n">
        <f aca="false">IF(A20&lt;=Inputs!$B$21,"",IF(AND(A20&lt;=Inputs!$B$22,Capitalization!E$18&gt;0),Inputs!$B$25,Inputs!$B$26))</f>
        <v>0.975</v>
      </c>
      <c r="K20" s="13" t="n">
        <f aca="false">IF(A20=0,-Capitalization!E$19,IF(A20&lt;=Inputs!$B$21,0,I20*J20-IF(AND(A20=Inputs!$B$22,Capitalization!E$18&gt;0),Inputs!$B$23,0)))</f>
        <v>4.97013502202273</v>
      </c>
      <c r="L20" s="23" t="n">
        <f aca="false">IF(H20&gt;0,G20/H20,"")</f>
        <v>1.32634040609115</v>
      </c>
      <c r="M20" s="13" t="n">
        <f aca="false">IF(A20=0,-Capitalization!E$4,IF(A20&lt;=Inputs!$B$21,0,G20))</f>
        <v>20.7179949191828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IF(A21=0,"Equity",IF(A21&lt;=Inputs!$B$21,"Construction",IF(A21&lt;=Inputs!$B$21+Inputs!$B$5,"Queue wait",IF(A21&lt;=Inputs!$B$21+Configurations!$C$15,"Grid ops","—"))))</f>
        <v>Grid ops</v>
      </c>
      <c r="C21" s="4" t="n">
        <f aca="false">IF(A21&lt;=Inputs!$B$21,"",A21-Inputs!$B$21-1)</f>
        <v>13</v>
      </c>
      <c r="D21" s="14" t="n">
        <f aca="false">IF(OR(A21&lt;=Inputs!$B$21,A21&gt;Inputs!$B$21+Configurations!$C$15),0,Configurations!$C$4*Configurations!$C$5*8760*(1-Configurations!$C$6)^C21*Configurations!$C$7*(1-Configurations!$C$8))</f>
        <v>419407.599116531</v>
      </c>
      <c r="E21" s="13" t="n">
        <f aca="false">IF(OR(A21&lt;=Inputs!$B$21,A21&gt;Inputs!$B$21+Configurations!$C$15),0,IF(A21&lt;=Inputs!$B$21+Inputs!$B$5,D21*(1-Inputs!$B$10)*Inputs!$B$19/1000000,D21*Inputs!$B$18/1000000))</f>
        <v>30.1973471363903</v>
      </c>
      <c r="F21" s="13" t="n">
        <f aca="false">IF(OR(A21&lt;=Inputs!$B$21,A21&gt;Inputs!$B$21+Configurations!$C$15),0,Configurations!$C$12+Configurations!$C$13+Configurations!$C$14+Inputs!$B$20*E21)</f>
        <v>9.53896020704585</v>
      </c>
      <c r="G21" s="13" t="n">
        <f aca="false">E21-F21</f>
        <v>20.6583869293444</v>
      </c>
      <c r="H21" s="21" t="n">
        <f aca="false">IF(AND(A21&gt;Inputs!$B$21,A21&lt;=Inputs!$B$21+Inputs!$B$12),Capitalization!E$12,0)</f>
        <v>15.620420537621</v>
      </c>
      <c r="I21" s="13" t="n">
        <f aca="false">G21-H21</f>
        <v>5.03796639172341</v>
      </c>
      <c r="J21" s="22" t="n">
        <f aca="false">IF(A21&lt;=Inputs!$B$21,"",IF(AND(A21&lt;=Inputs!$B$22,Capitalization!E$18&gt;0),Inputs!$B$25,Inputs!$B$26))</f>
        <v>0.975</v>
      </c>
      <c r="K21" s="13" t="n">
        <f aca="false">IF(A21=0,-Capitalization!E$19,IF(A21&lt;=Inputs!$B$21,0,I21*J21-IF(AND(A21=Inputs!$B$22,Capitalization!E$18&gt;0),Inputs!$B$23,0)))</f>
        <v>4.91201723193032</v>
      </c>
      <c r="L21" s="23" t="n">
        <f aca="false">IF(H21&gt;0,G21/H21,"")</f>
        <v>1.32252437631815</v>
      </c>
      <c r="M21" s="13" t="n">
        <f aca="false">IF(A21=0,-Capitalization!E$4,IF(A21&lt;=Inputs!$B$21,0,G21))</f>
        <v>20.6583869293444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IF(A22=0,"Equity",IF(A22&lt;=Inputs!$B$21,"Construction",IF(A22&lt;=Inputs!$B$21+Inputs!$B$5,"Queue wait",IF(A22&lt;=Inputs!$B$21+Configurations!$C$15,"Grid ops","—"))))</f>
        <v>Grid ops</v>
      </c>
      <c r="C22" s="4" t="n">
        <f aca="false">IF(A22&lt;=Inputs!$B$21,"",A22-Inputs!$B$21-1)</f>
        <v>14</v>
      </c>
      <c r="D22" s="14" t="n">
        <f aca="false">IF(OR(A22&lt;=Inputs!$B$21,A22&gt;Inputs!$B$21+Configurations!$C$15),0,Configurations!$C$4*Configurations!$C$5*8760*(1-Configurations!$C$6)^C22*Configurations!$C$7*(1-Configurations!$C$8))</f>
        <v>418568.783918298</v>
      </c>
      <c r="E22" s="13" t="n">
        <f aca="false">IF(OR(A22&lt;=Inputs!$B$21,A22&gt;Inputs!$B$21+Configurations!$C$15),0,IF(A22&lt;=Inputs!$B$21+Inputs!$B$5,D22*(1-Inputs!$B$10)*Inputs!$B$19/1000000,D22*Inputs!$B$18/1000000))</f>
        <v>30.1369524421175</v>
      </c>
      <c r="F22" s="13" t="n">
        <f aca="false">IF(OR(A22&lt;=Inputs!$B$21,A22&gt;Inputs!$B$21+Configurations!$C$15),0,Configurations!$C$12+Configurations!$C$13+Configurations!$C$14+Inputs!$B$20*E22)</f>
        <v>9.53805428663176</v>
      </c>
      <c r="G22" s="13" t="n">
        <f aca="false">E22-F22</f>
        <v>20.5988981554857</v>
      </c>
      <c r="H22" s="21" t="n">
        <f aca="false">IF(AND(A22&gt;Inputs!$B$21,A22&lt;=Inputs!$B$21+Inputs!$B$12),Capitalization!E$12,0)</f>
        <v>15.620420537621</v>
      </c>
      <c r="I22" s="13" t="n">
        <f aca="false">G22-H22</f>
        <v>4.97847761786472</v>
      </c>
      <c r="J22" s="22" t="n">
        <f aca="false">IF(A22&lt;=Inputs!$B$21,"",IF(AND(A22&lt;=Inputs!$B$22,Capitalization!E$18&gt;0),Inputs!$B$25,Inputs!$B$26))</f>
        <v>0.975</v>
      </c>
      <c r="K22" s="13" t="n">
        <f aca="false">IF(A22=0,-Capitalization!E$19,IF(A22&lt;=Inputs!$B$21,0,I22*J22-IF(AND(A22=Inputs!$B$22,Capitalization!E$18&gt;0),Inputs!$B$23,0)))</f>
        <v>4.8540156774181</v>
      </c>
      <c r="L22" s="23" t="n">
        <f aca="false">IF(H22&gt;0,G22/H22,"")</f>
        <v>1.31871597860469</v>
      </c>
      <c r="M22" s="13" t="n">
        <f aca="false">IF(A22=0,-Capitalization!E$4,IF(A22&lt;=Inputs!$B$21,0,G22))</f>
        <v>20.5988981554857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IF(A23=0,"Equity",IF(A23&lt;=Inputs!$B$21,"Construction",IF(A23&lt;=Inputs!$B$21+Inputs!$B$5,"Queue wait",IF(A23&lt;=Inputs!$B$21+Configurations!$C$15,"Grid ops","—"))))</f>
        <v>Grid ops</v>
      </c>
      <c r="C23" s="4" t="n">
        <f aca="false">IF(A23&lt;=Inputs!$B$21,"",A23-Inputs!$B$21-1)</f>
        <v>15</v>
      </c>
      <c r="D23" s="14" t="n">
        <f aca="false">IF(OR(A23&lt;=Inputs!$B$21,A23&gt;Inputs!$B$21+Configurations!$C$15),0,Configurations!$C$4*Configurations!$C$5*8760*(1-Configurations!$C$6)^C23*Configurations!$C$7*(1-Configurations!$C$8))</f>
        <v>417731.646350462</v>
      </c>
      <c r="E23" s="13" t="n">
        <f aca="false">IF(OR(A23&lt;=Inputs!$B$21,A23&gt;Inputs!$B$21+Configurations!$C$15),0,IF(A23&lt;=Inputs!$B$21+Inputs!$B$5,D23*(1-Inputs!$B$10)*Inputs!$B$19/1000000,D23*Inputs!$B$18/1000000))</f>
        <v>30.0766785372332</v>
      </c>
      <c r="F23" s="13" t="n">
        <f aca="false">IF(OR(A23&lt;=Inputs!$B$21,A23&gt;Inputs!$B$21+Configurations!$C$15),0,Configurations!$C$12+Configurations!$C$13+Configurations!$C$14+Inputs!$B$20*E23)</f>
        <v>9.5371501780585</v>
      </c>
      <c r="G23" s="13" t="n">
        <f aca="false">E23-F23</f>
        <v>20.5395283591747</v>
      </c>
      <c r="H23" s="21" t="n">
        <f aca="false">IF(AND(A23&gt;Inputs!$B$21,A23&lt;=Inputs!$B$21+Inputs!$B$12),Capitalization!E$12,0)</f>
        <v>15.620420537621</v>
      </c>
      <c r="I23" s="13" t="n">
        <f aca="false">G23-H23</f>
        <v>4.91910782155375</v>
      </c>
      <c r="J23" s="22" t="n">
        <f aca="false">IF(A23&lt;=Inputs!$B$21,"",IF(AND(A23&lt;=Inputs!$B$22,Capitalization!E$18&gt;0),Inputs!$B$25,Inputs!$B$26))</f>
        <v>0.975</v>
      </c>
      <c r="K23" s="13" t="n">
        <f aca="false">IF(A23=0,-Capitalization!E$19,IF(A23&lt;=Inputs!$B$21,0,I23*J23-IF(AND(A23=Inputs!$B$22,Capitalization!E$18&gt;0),Inputs!$B$23,0)))</f>
        <v>4.79613012601491</v>
      </c>
      <c r="L23" s="23" t="n">
        <f aca="false">IF(H23&gt;0,G23/H23,"")</f>
        <v>1.31491519768666</v>
      </c>
      <c r="M23" s="13" t="n">
        <f aca="false">IF(A23=0,-Capitalization!E$4,IF(A23&lt;=Inputs!$B$21,0,G23))</f>
        <v>20.5395283591747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IF(A24=0,"Equity",IF(A24&lt;=Inputs!$B$21,"Construction",IF(A24&lt;=Inputs!$B$21+Inputs!$B$5,"Queue wait",IF(A24&lt;=Inputs!$B$21+Configurations!$C$15,"Grid ops","—"))))</f>
        <v>Grid ops</v>
      </c>
      <c r="C24" s="4" t="n">
        <f aca="false">IF(A24&lt;=Inputs!$B$21,"",A24-Inputs!$B$21-1)</f>
        <v>16</v>
      </c>
      <c r="D24" s="14" t="n">
        <f aca="false">IF(OR(A24&lt;=Inputs!$B$21,A24&gt;Inputs!$B$21+Configurations!$C$15),0,Configurations!$C$4*Configurations!$C$5*8760*(1-Configurations!$C$6)^C24*Configurations!$C$7*(1-Configurations!$C$8))</f>
        <v>416896.183057761</v>
      </c>
      <c r="E24" s="13" t="n">
        <f aca="false">IF(OR(A24&lt;=Inputs!$B$21,A24&gt;Inputs!$B$21+Configurations!$C$15),0,IF(A24&lt;=Inputs!$B$21+Inputs!$B$5,D24*(1-Inputs!$B$10)*Inputs!$B$19/1000000,D24*Inputs!$B$18/1000000))</f>
        <v>30.0165251801588</v>
      </c>
      <c r="F24" s="13" t="n">
        <f aca="false">IF(OR(A24&lt;=Inputs!$B$21,A24&gt;Inputs!$B$21+Configurations!$C$15),0,Configurations!$C$12+Configurations!$C$13+Configurations!$C$14+Inputs!$B$20*E24)</f>
        <v>9.53624787770238</v>
      </c>
      <c r="G24" s="13" t="n">
        <f aca="false">E24-F24</f>
        <v>20.4802773024564</v>
      </c>
      <c r="H24" s="21" t="n">
        <f aca="false">IF(AND(A24&gt;Inputs!$B$21,A24&lt;=Inputs!$B$21+Inputs!$B$12),Capitalization!E$12,0)</f>
        <v>15.620420537621</v>
      </c>
      <c r="I24" s="13" t="n">
        <f aca="false">G24-H24</f>
        <v>4.85985676483541</v>
      </c>
      <c r="J24" s="22" t="n">
        <f aca="false">IF(A24&lt;=Inputs!$B$21,"",IF(AND(A24&lt;=Inputs!$B$22,Capitalization!E$18&gt;0),Inputs!$B$25,Inputs!$B$26))</f>
        <v>0.975</v>
      </c>
      <c r="K24" s="13" t="n">
        <f aca="false">IF(A24=0,-Capitalization!E$19,IF(A24&lt;=Inputs!$B$21,0,I24*J24-IF(AND(A24=Inputs!$B$22,Capitalization!E$18&gt;0),Inputs!$B$23,0)))</f>
        <v>4.73836034571452</v>
      </c>
      <c r="L24" s="23" t="n">
        <f aca="false">IF(H24&gt;0,G24/H24,"")</f>
        <v>1.31112201833047</v>
      </c>
      <c r="M24" s="13" t="n">
        <f aca="false">IF(A24=0,-Capitalization!E$4,IF(A24&lt;=Inputs!$B$21,0,G24))</f>
        <v>20.4802773024564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IF(A25=0,"Equity",IF(A25&lt;=Inputs!$B$21,"Construction",IF(A25&lt;=Inputs!$B$21+Inputs!$B$5,"Queue wait",IF(A25&lt;=Inputs!$B$21+Configurations!$C$15,"Grid ops","—"))))</f>
        <v>Grid ops</v>
      </c>
      <c r="C25" s="4" t="n">
        <f aca="false">IF(A25&lt;=Inputs!$B$21,"",A25-Inputs!$B$21-1)</f>
        <v>17</v>
      </c>
      <c r="D25" s="14" t="n">
        <f aca="false">IF(OR(A25&lt;=Inputs!$B$21,A25&gt;Inputs!$B$21+Configurations!$C$15),0,Configurations!$C$4*Configurations!$C$5*8760*(1-Configurations!$C$6)^C25*Configurations!$C$7*(1-Configurations!$C$8))</f>
        <v>416062.390691645</v>
      </c>
      <c r="E25" s="13" t="n">
        <f aca="false">IF(OR(A25&lt;=Inputs!$B$21,A25&gt;Inputs!$B$21+Configurations!$C$15),0,IF(A25&lt;=Inputs!$B$21+Inputs!$B$5,D25*(1-Inputs!$B$10)*Inputs!$B$19/1000000,D25*Inputs!$B$18/1000000))</f>
        <v>29.9564921297984</v>
      </c>
      <c r="F25" s="13" t="n">
        <f aca="false">IF(OR(A25&lt;=Inputs!$B$21,A25&gt;Inputs!$B$21+Configurations!$C$15),0,Configurations!$C$12+Configurations!$C$13+Configurations!$C$14+Inputs!$B$20*E25)</f>
        <v>9.53534738194698</v>
      </c>
      <c r="G25" s="13" t="n">
        <f aca="false">E25-F25</f>
        <v>20.4211447478515</v>
      </c>
      <c r="H25" s="21" t="n">
        <f aca="false">IF(AND(A25&gt;Inputs!$B$21,A25&lt;=Inputs!$B$21+Inputs!$B$12),Capitalization!E$12,0)</f>
        <v>15.620420537621</v>
      </c>
      <c r="I25" s="13" t="n">
        <f aca="false">G25-H25</f>
        <v>4.80072421023048</v>
      </c>
      <c r="J25" s="22" t="n">
        <f aca="false">IF(A25&lt;=Inputs!$B$21,"",IF(AND(A25&lt;=Inputs!$B$22,Capitalization!E$18&gt;0),Inputs!$B$25,Inputs!$B$26))</f>
        <v>0.975</v>
      </c>
      <c r="K25" s="13" t="n">
        <f aca="false">IF(A25=0,-Capitalization!E$19,IF(A25&lt;=Inputs!$B$21,0,I25*J25-IF(AND(A25=Inputs!$B$22,Capitalization!E$18&gt;0),Inputs!$B$23,0)))</f>
        <v>4.68070610497472</v>
      </c>
      <c r="L25" s="23" t="n">
        <f aca="false">IF(H25&gt;0,G25/H25,"")</f>
        <v>1.30733642533299</v>
      </c>
      <c r="M25" s="13" t="n">
        <f aca="false">IF(A25=0,-Capitalization!E$4,IF(A25&lt;=Inputs!$B$21,0,G25))</f>
        <v>20.4211447478515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IF(A26=0,"Equity",IF(A26&lt;=Inputs!$B$21,"Construction",IF(A26&lt;=Inputs!$B$21+Inputs!$B$5,"Queue wait",IF(A26&lt;=Inputs!$B$21+Configurations!$C$15,"Grid ops","—"))))</f>
        <v>Grid ops</v>
      </c>
      <c r="C26" s="4" t="n">
        <f aca="false">IF(A26&lt;=Inputs!$B$21,"",A26-Inputs!$B$21-1)</f>
        <v>18</v>
      </c>
      <c r="D26" s="14" t="n">
        <f aca="false">IF(OR(A26&lt;=Inputs!$B$21,A26&gt;Inputs!$B$21+Configurations!$C$15),0,Configurations!$C$4*Configurations!$C$5*8760*(1-Configurations!$C$6)^C26*Configurations!$C$7*(1-Configurations!$C$8))</f>
        <v>415230.265910262</v>
      </c>
      <c r="E26" s="13" t="n">
        <f aca="false">IF(OR(A26&lt;=Inputs!$B$21,A26&gt;Inputs!$B$21+Configurations!$C$15),0,IF(A26&lt;=Inputs!$B$21+Inputs!$B$5,D26*(1-Inputs!$B$10)*Inputs!$B$19/1000000,D26*Inputs!$B$18/1000000))</f>
        <v>29.8965791455389</v>
      </c>
      <c r="F26" s="13" t="n">
        <f aca="false">IF(OR(A26&lt;=Inputs!$B$21,A26&gt;Inputs!$B$21+Configurations!$C$15),0,Configurations!$C$12+Configurations!$C$13+Configurations!$C$14+Inputs!$B$20*E26)</f>
        <v>9.53444868718308</v>
      </c>
      <c r="G26" s="13" t="n">
        <f aca="false">E26-F26</f>
        <v>20.3621304583558</v>
      </c>
      <c r="H26" s="21" t="n">
        <f aca="false">IF(AND(A26&gt;Inputs!$B$21,A26&lt;=Inputs!$B$21+Inputs!$B$12),Capitalization!E$12,0)</f>
        <v>15.620420537621</v>
      </c>
      <c r="I26" s="13" t="n">
        <f aca="false">G26-H26</f>
        <v>4.74170992073478</v>
      </c>
      <c r="J26" s="22" t="n">
        <f aca="false">IF(A26&lt;=Inputs!$B$21,"",IF(AND(A26&lt;=Inputs!$B$22,Capitalization!E$18&gt;0),Inputs!$B$25,Inputs!$B$26))</f>
        <v>0.975</v>
      </c>
      <c r="K26" s="13" t="n">
        <f aca="false">IF(A26=0,-Capitalization!E$19,IF(A26&lt;=Inputs!$B$21,0,I26*J26-IF(AND(A26=Inputs!$B$22,Capitalization!E$18&gt;0),Inputs!$B$23,0)))</f>
        <v>4.62316717271641</v>
      </c>
      <c r="L26" s="23" t="n">
        <f aca="false">IF(H26&gt;0,G26/H26,"")</f>
        <v>1.30355840352151</v>
      </c>
      <c r="M26" s="13" t="n">
        <f aca="false">IF(A26=0,-Capitalization!E$4,IF(A26&lt;=Inputs!$B$21,0,G26))</f>
        <v>20.3621304583558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IF(A27=0,"Equity",IF(A27&lt;=Inputs!$B$21,"Construction",IF(A27&lt;=Inputs!$B$21+Inputs!$B$5,"Queue wait",IF(A27&lt;=Inputs!$B$21+Configurations!$C$15,"Grid ops","—"))))</f>
        <v>Grid ops</v>
      </c>
      <c r="C27" s="4" t="n">
        <f aca="false">IF(A27&lt;=Inputs!$B$21,"",A27-Inputs!$B$21-1)</f>
        <v>19</v>
      </c>
      <c r="D27" s="14" t="n">
        <f aca="false">IF(OR(A27&lt;=Inputs!$B$21,A27&gt;Inputs!$B$21+Configurations!$C$15),0,Configurations!$C$4*Configurations!$C$5*8760*(1-Configurations!$C$6)^C27*Configurations!$C$7*(1-Configurations!$C$8))</f>
        <v>414399.805378441</v>
      </c>
      <c r="E27" s="13" t="n">
        <f aca="false">IF(OR(A27&lt;=Inputs!$B$21,A27&gt;Inputs!$B$21+Configurations!$C$15),0,IF(A27&lt;=Inputs!$B$21+Inputs!$B$5,D27*(1-Inputs!$B$10)*Inputs!$B$19/1000000,D27*Inputs!$B$18/1000000))</f>
        <v>29.8367859872478</v>
      </c>
      <c r="F27" s="13" t="n">
        <f aca="false">IF(OR(A27&lt;=Inputs!$B$21,A27&gt;Inputs!$B$21+Configurations!$C$15),0,Configurations!$C$12+Configurations!$C$13+Configurations!$C$14+Inputs!$B$20*E27)</f>
        <v>9.53355178980872</v>
      </c>
      <c r="G27" s="13" t="n">
        <f aca="false">E27-F27</f>
        <v>20.3032341974391</v>
      </c>
      <c r="H27" s="21" t="n">
        <f aca="false">IF(AND(A27&gt;Inputs!$B$21,A27&lt;=Inputs!$B$21+Inputs!$B$12),Capitalization!E$12,0)</f>
        <v>15.620420537621</v>
      </c>
      <c r="I27" s="13" t="n">
        <f aca="false">G27-H27</f>
        <v>4.68281365981807</v>
      </c>
      <c r="J27" s="22" t="n">
        <f aca="false">IF(A27&lt;=Inputs!$B$21,"",IF(AND(A27&lt;=Inputs!$B$22,Capitalization!E$18&gt;0),Inputs!$B$25,Inputs!$B$26))</f>
        <v>0.975</v>
      </c>
      <c r="K27" s="13" t="n">
        <f aca="false">IF(A27=0,-Capitalization!E$19,IF(A27&lt;=Inputs!$B$21,0,I27*J27-IF(AND(A27=Inputs!$B$22,Capitalization!E$18&gt;0),Inputs!$B$23,0)))</f>
        <v>4.56574331832262</v>
      </c>
      <c r="L27" s="23" t="n">
        <f aca="false">IF(H27&gt;0,G27/H27,"")</f>
        <v>1.29978793775364</v>
      </c>
      <c r="M27" s="13" t="n">
        <f aca="false">IF(A27=0,-Capitalization!E$4,IF(A27&lt;=Inputs!$B$21,0,G27))</f>
        <v>20.3032341974391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IF(A28=0,"Equity",IF(A28&lt;=Inputs!$B$21,"Construction",IF(A28&lt;=Inputs!$B$21+Inputs!$B$5,"Queue wait",IF(A28&lt;=Inputs!$B$21+Configurations!$C$15,"Grid ops","—"))))</f>
        <v>Grid ops</v>
      </c>
      <c r="C28" s="4" t="n">
        <f aca="false">IF(A28&lt;=Inputs!$B$21,"",A28-Inputs!$B$21-1)</f>
        <v>20</v>
      </c>
      <c r="D28" s="14" t="n">
        <f aca="false">IF(OR(A28&lt;=Inputs!$B$21,A28&gt;Inputs!$B$21+Configurations!$C$15),0,Configurations!$C$4*Configurations!$C$5*8760*(1-Configurations!$C$6)^C28*Configurations!$C$7*(1-Configurations!$C$8))</f>
        <v>413571.005767684</v>
      </c>
      <c r="E28" s="13" t="n">
        <f aca="false">IF(OR(A28&lt;=Inputs!$B$21,A28&gt;Inputs!$B$21+Configurations!$C$15),0,IF(A28&lt;=Inputs!$B$21+Inputs!$B$5,D28*(1-Inputs!$B$10)*Inputs!$B$19/1000000,D28*Inputs!$B$18/1000000))</f>
        <v>29.7771124152733</v>
      </c>
      <c r="F28" s="13" t="n">
        <f aca="false">IF(OR(A28&lt;=Inputs!$B$21,A28&gt;Inputs!$B$21+Configurations!$C$15),0,Configurations!$C$12+Configurations!$C$13+Configurations!$C$14+Inputs!$B$20*E28)</f>
        <v>9.5326566862291</v>
      </c>
      <c r="G28" s="13" t="n">
        <f aca="false">E28-F28</f>
        <v>20.2444557290442</v>
      </c>
      <c r="H28" s="21" t="n">
        <f aca="false">IF(AND(A28&gt;Inputs!$B$21,A28&lt;=Inputs!$B$21+Inputs!$B$12),Capitalization!E$12,0)</f>
        <v>0</v>
      </c>
      <c r="I28" s="13" t="n">
        <f aca="false">G28-H28</f>
        <v>20.2444557290442</v>
      </c>
      <c r="J28" s="22" t="n">
        <f aca="false">IF(A28&lt;=Inputs!$B$21,"",IF(AND(A28&lt;=Inputs!$B$22,Capitalization!E$18&gt;0),Inputs!$B$25,Inputs!$B$26))</f>
        <v>0.975</v>
      </c>
      <c r="K28" s="13" t="n">
        <f aca="false">IF(A28=0,-Capitalization!E$19,IF(A28&lt;=Inputs!$B$21,0,I28*J28-IF(AND(A28=Inputs!$B$22,Capitalization!E$18&gt;0),Inputs!$B$23,0)))</f>
        <v>19.7383443358181</v>
      </c>
      <c r="L28" s="23" t="str">
        <f aca="false">IF(H28&gt;0,G28/H28,"")</f>
        <v/>
      </c>
      <c r="M28" s="13" t="n">
        <f aca="false">IF(A28=0,-Capitalization!E$4,IF(A28&lt;=Inputs!$B$21,0,G28))</f>
        <v>20.2444557290442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IF(A29=0,"Equity",IF(A29&lt;=Inputs!$B$21,"Construction",IF(A29&lt;=Inputs!$B$21+Inputs!$B$5,"Queue wait",IF(A29&lt;=Inputs!$B$21+Configurations!$C$15,"Grid ops","—"))))</f>
        <v>Grid ops</v>
      </c>
      <c r="C29" s="4" t="n">
        <f aca="false">IF(A29&lt;=Inputs!$B$21,"",A29-Inputs!$B$21-1)</f>
        <v>21</v>
      </c>
      <c r="D29" s="14" t="n">
        <f aca="false">IF(OR(A29&lt;=Inputs!$B$21,A29&gt;Inputs!$B$21+Configurations!$C$15),0,Configurations!$C$4*Configurations!$C$5*8760*(1-Configurations!$C$6)^C29*Configurations!$C$7*(1-Configurations!$C$8))</f>
        <v>412743.863756149</v>
      </c>
      <c r="E29" s="13" t="n">
        <f aca="false">IF(OR(A29&lt;=Inputs!$B$21,A29&gt;Inputs!$B$21+Configurations!$C$15),0,IF(A29&lt;=Inputs!$B$21+Inputs!$B$5,D29*(1-Inputs!$B$10)*Inputs!$B$19/1000000,D29*Inputs!$B$18/1000000))</f>
        <v>29.7175581904427</v>
      </c>
      <c r="F29" s="13" t="n">
        <f aca="false">IF(OR(A29&lt;=Inputs!$B$21,A29&gt;Inputs!$B$21+Configurations!$C$15),0,Configurations!$C$12+Configurations!$C$13+Configurations!$C$14+Inputs!$B$20*E29)</f>
        <v>9.53176337285664</v>
      </c>
      <c r="G29" s="13" t="n">
        <f aca="false">E29-F29</f>
        <v>20.1857948175861</v>
      </c>
      <c r="H29" s="21" t="n">
        <f aca="false">IF(AND(A29&gt;Inputs!$B$21,A29&lt;=Inputs!$B$21+Inputs!$B$12),Capitalization!E$12,0)</f>
        <v>0</v>
      </c>
      <c r="I29" s="13" t="n">
        <f aca="false">G29-H29</f>
        <v>20.1857948175861</v>
      </c>
      <c r="J29" s="22" t="n">
        <f aca="false">IF(A29&lt;=Inputs!$B$21,"",IF(AND(A29&lt;=Inputs!$B$22,Capitalization!E$18&gt;0),Inputs!$B$25,Inputs!$B$26))</f>
        <v>0.975</v>
      </c>
      <c r="K29" s="13" t="n">
        <f aca="false">IF(A29=0,-Capitalization!E$19,IF(A29&lt;=Inputs!$B$21,0,I29*J29-IF(AND(A29=Inputs!$B$22,Capitalization!E$18&gt;0),Inputs!$B$23,0)))</f>
        <v>19.6811499471464</v>
      </c>
      <c r="L29" s="23" t="str">
        <f aca="false">IF(H29&gt;0,G29/H29,"")</f>
        <v/>
      </c>
      <c r="M29" s="13" t="n">
        <f aca="false">IF(A29=0,-Capitalization!E$4,IF(A29&lt;=Inputs!$B$21,0,G29))</f>
        <v>20.1857948175861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IF(A30=0,"Equity",IF(A30&lt;=Inputs!$B$21,"Construction",IF(A30&lt;=Inputs!$B$21+Inputs!$B$5,"Queue wait",IF(A30&lt;=Inputs!$B$21+Configurations!$C$15,"Grid ops","—"))))</f>
        <v>Grid ops</v>
      </c>
      <c r="C30" s="4" t="n">
        <f aca="false">IF(A30&lt;=Inputs!$B$21,"",A30-Inputs!$B$21-1)</f>
        <v>22</v>
      </c>
      <c r="D30" s="14" t="n">
        <f aca="false">IF(OR(A30&lt;=Inputs!$B$21,A30&gt;Inputs!$B$21+Configurations!$C$15),0,Configurations!$C$4*Configurations!$C$5*8760*(1-Configurations!$C$6)^C30*Configurations!$C$7*(1-Configurations!$C$8))</f>
        <v>411918.376028637</v>
      </c>
      <c r="E30" s="13" t="n">
        <f aca="false">IF(OR(A30&lt;=Inputs!$B$21,A30&gt;Inputs!$B$21+Configurations!$C$15),0,IF(A30&lt;=Inputs!$B$21+Inputs!$B$5,D30*(1-Inputs!$B$10)*Inputs!$B$19/1000000,D30*Inputs!$B$18/1000000))</f>
        <v>29.6581230740618</v>
      </c>
      <c r="F30" s="13" t="n">
        <f aca="false">IF(OR(A30&lt;=Inputs!$B$21,A30&gt;Inputs!$B$21+Configurations!$C$15),0,Configurations!$C$12+Configurations!$C$13+Configurations!$C$14+Inputs!$B$20*E30)</f>
        <v>9.53087184611093</v>
      </c>
      <c r="G30" s="13" t="n">
        <f aca="false">E30-F30</f>
        <v>20.1272512279509</v>
      </c>
      <c r="H30" s="21" t="n">
        <f aca="false">IF(AND(A30&gt;Inputs!$B$21,A30&lt;=Inputs!$B$21+Inputs!$B$12),Capitalization!E$12,0)</f>
        <v>0</v>
      </c>
      <c r="I30" s="13" t="n">
        <f aca="false">G30-H30</f>
        <v>20.1272512279509</v>
      </c>
      <c r="J30" s="22" t="n">
        <f aca="false">IF(A30&lt;=Inputs!$B$21,"",IF(AND(A30&lt;=Inputs!$B$22,Capitalization!E$18&gt;0),Inputs!$B$25,Inputs!$B$26))</f>
        <v>0.975</v>
      </c>
      <c r="K30" s="13" t="n">
        <f aca="false">IF(A30=0,-Capitalization!E$19,IF(A30&lt;=Inputs!$B$21,0,I30*J30-IF(AND(A30=Inputs!$B$22,Capitalization!E$18&gt;0),Inputs!$B$23,0)))</f>
        <v>19.6240699472522</v>
      </c>
      <c r="L30" s="23" t="str">
        <f aca="false">IF(H30&gt;0,G30/H30,"")</f>
        <v/>
      </c>
      <c r="M30" s="13" t="n">
        <f aca="false">IF(A30=0,-Capitalization!E$4,IF(A30&lt;=Inputs!$B$21,0,G30))</f>
        <v>20.1272512279509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IF(A31=0,"Equity",IF(A31&lt;=Inputs!$B$21,"Construction",IF(A31&lt;=Inputs!$B$21+Inputs!$B$5,"Queue wait",IF(A31&lt;=Inputs!$B$21+Configurations!$C$15,"Grid ops","—"))))</f>
        <v>Grid ops</v>
      </c>
      <c r="C31" s="4" t="n">
        <f aca="false">IF(A31&lt;=Inputs!$B$21,"",A31-Inputs!$B$21-1)</f>
        <v>23</v>
      </c>
      <c r="D31" s="14" t="n">
        <f aca="false">IF(OR(A31&lt;=Inputs!$B$21,A31&gt;Inputs!$B$21+Configurations!$C$15),0,Configurations!$C$4*Configurations!$C$5*8760*(1-Configurations!$C$6)^C31*Configurations!$C$7*(1-Configurations!$C$8))</f>
        <v>411094.53927658</v>
      </c>
      <c r="E31" s="13" t="n">
        <f aca="false">IF(OR(A31&lt;=Inputs!$B$21,A31&gt;Inputs!$B$21+Configurations!$C$15),0,IF(A31&lt;=Inputs!$B$21+Inputs!$B$5,D31*(1-Inputs!$B$10)*Inputs!$B$19/1000000,D31*Inputs!$B$18/1000000))</f>
        <v>29.5988068279137</v>
      </c>
      <c r="F31" s="13" t="n">
        <f aca="false">IF(OR(A31&lt;=Inputs!$B$21,A31&gt;Inputs!$B$21+Configurations!$C$15),0,Configurations!$C$12+Configurations!$C$13+Configurations!$C$14+Inputs!$B$20*E31)</f>
        <v>9.52998210241871</v>
      </c>
      <c r="G31" s="13" t="n">
        <f aca="false">E31-F31</f>
        <v>20.068824725495</v>
      </c>
      <c r="H31" s="21" t="n">
        <f aca="false">IF(AND(A31&gt;Inputs!$B$21,A31&lt;=Inputs!$B$21+Inputs!$B$12),Capitalization!E$12,0)</f>
        <v>0</v>
      </c>
      <c r="I31" s="13" t="n">
        <f aca="false">G31-H31</f>
        <v>20.068824725495</v>
      </c>
      <c r="J31" s="22" t="n">
        <f aca="false">IF(A31&lt;=Inputs!$B$21,"",IF(AND(A31&lt;=Inputs!$B$22,Capitalization!E$18&gt;0),Inputs!$B$25,Inputs!$B$26))</f>
        <v>0.975</v>
      </c>
      <c r="K31" s="13" t="n">
        <f aca="false">IF(A31=0,-Capitalization!E$19,IF(A31&lt;=Inputs!$B$21,0,I31*J31-IF(AND(A31=Inputs!$B$22,Capitalization!E$18&gt;0),Inputs!$B$23,0)))</f>
        <v>19.5671041073576</v>
      </c>
      <c r="L31" s="23" t="str">
        <f aca="false">IF(H31&gt;0,G31/H31,"")</f>
        <v/>
      </c>
      <c r="M31" s="13" t="n">
        <f aca="false">IF(A31=0,-Capitalization!E$4,IF(A31&lt;=Inputs!$B$21,0,G31))</f>
        <v>20.068824725495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IF(A32=0,"Equity",IF(A32&lt;=Inputs!$B$21,"Construction",IF(A32&lt;=Inputs!$B$21+Inputs!$B$5,"Queue wait",IF(A32&lt;=Inputs!$B$21+Configurations!$C$15,"Grid ops","—"))))</f>
        <v>Grid ops</v>
      </c>
      <c r="C32" s="4" t="n">
        <f aca="false">IF(A32&lt;=Inputs!$B$21,"",A32-Inputs!$B$21-1)</f>
        <v>24</v>
      </c>
      <c r="D32" s="14" t="n">
        <f aca="false">IF(OR(A32&lt;=Inputs!$B$21,A32&gt;Inputs!$B$21+Configurations!$C$15),0,Configurations!$C$4*Configurations!$C$5*8760*(1-Configurations!$C$6)^C32*Configurations!$C$7*(1-Configurations!$C$8))</f>
        <v>410272.350198026</v>
      </c>
      <c r="E32" s="13" t="n">
        <f aca="false">IF(OR(A32&lt;=Inputs!$B$21,A32&gt;Inputs!$B$21+Configurations!$C$15),0,IF(A32&lt;=Inputs!$B$21+Inputs!$B$5,D32*(1-Inputs!$B$10)*Inputs!$B$19/1000000,D32*Inputs!$B$18/1000000))</f>
        <v>29.5396092142579</v>
      </c>
      <c r="F32" s="13" t="n">
        <f aca="false">IF(OR(A32&lt;=Inputs!$B$21,A32&gt;Inputs!$B$21+Configurations!$C$15),0,Configurations!$C$12+Configurations!$C$13+Configurations!$C$14+Inputs!$B$20*E32)</f>
        <v>9.52909413821387</v>
      </c>
      <c r="G32" s="13" t="n">
        <f aca="false">E32-F32</f>
        <v>20.010515076044</v>
      </c>
      <c r="H32" s="21" t="n">
        <f aca="false">IF(AND(A32&gt;Inputs!$B$21,A32&lt;=Inputs!$B$21+Inputs!$B$12),Capitalization!E$12,0)</f>
        <v>0</v>
      </c>
      <c r="I32" s="13" t="n">
        <f aca="false">G32-H32</f>
        <v>20.010515076044</v>
      </c>
      <c r="J32" s="22" t="n">
        <f aca="false">IF(A32&lt;=Inputs!$B$21,"",IF(AND(A32&lt;=Inputs!$B$22,Capitalization!E$18&gt;0),Inputs!$B$25,Inputs!$B$26))</f>
        <v>0.975</v>
      </c>
      <c r="K32" s="13" t="n">
        <f aca="false">IF(A32=0,-Capitalization!E$19,IF(A32&lt;=Inputs!$B$21,0,I32*J32-IF(AND(A32=Inputs!$B$22,Capitalization!E$18&gt;0),Inputs!$B$23,0)))</f>
        <v>19.5102521991429</v>
      </c>
      <c r="L32" s="23" t="str">
        <f aca="false">IF(H32&gt;0,G32/H32,"")</f>
        <v/>
      </c>
      <c r="M32" s="13" t="n">
        <f aca="false">IF(A32=0,-Capitalization!E$4,IF(A32&lt;=Inputs!$B$21,0,G32))</f>
        <v>20.010515076044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IF(A33=0,"Equity",IF(A33&lt;=Inputs!$B$21,"Construction",IF(A33&lt;=Inputs!$B$21+Inputs!$B$5,"Queue wait",IF(A33&lt;=Inputs!$B$21+Configurations!$C$15,"Grid ops","—"))))</f>
        <v>—</v>
      </c>
      <c r="C33" s="4" t="n">
        <f aca="false">IF(A33&lt;=Inputs!$B$21,"",A33-Inputs!$B$21-1)</f>
        <v>25</v>
      </c>
      <c r="D33" s="14" t="n">
        <f aca="false">IF(OR(A33&lt;=Inputs!$B$21,A33&gt;Inputs!$B$21+Configurations!$C$15),0,Configurations!$C$4*Configurations!$C$5*8760*(1-Configurations!$C$6)^C33*Configurations!$C$7*(1-Configurations!$C$8))</f>
        <v>0</v>
      </c>
      <c r="E33" s="13" t="n">
        <f aca="false">IF(OR(A33&lt;=Inputs!$B$21,A33&gt;Inputs!$B$21+Configurations!$C$15),0,IF(A33&lt;=Inputs!$B$21+Inputs!$B$5,D33*(1-Inputs!$B$10)*Inputs!$B$19/1000000,D33*Inputs!$B$18/1000000))</f>
        <v>0</v>
      </c>
      <c r="F33" s="13" t="n">
        <f aca="false">IF(OR(A33&lt;=Inputs!$B$21,A33&gt;Inputs!$B$21+Configurations!$C$15),0,Configurations!$C$12+Configurations!$C$13+Configurations!$C$14+Inputs!$B$20*E33)</f>
        <v>0</v>
      </c>
      <c r="G33" s="13" t="n">
        <f aca="false">E33-F33</f>
        <v>0</v>
      </c>
      <c r="H33" s="21" t="n">
        <f aca="false">IF(AND(A33&gt;Inputs!$B$21,A33&lt;=Inputs!$B$21+Inputs!$B$12),Capitalization!E$12,0)</f>
        <v>0</v>
      </c>
      <c r="I33" s="13" t="n">
        <f aca="false">G33-H33</f>
        <v>0</v>
      </c>
      <c r="J33" s="22" t="n">
        <f aca="false">IF(A33&lt;=Inputs!$B$21,"",IF(AND(A33&lt;=Inputs!$B$22,Capitalization!E$18&gt;0),Inputs!$B$25,Inputs!$B$26))</f>
        <v>0.975</v>
      </c>
      <c r="K33" s="13" t="n">
        <f aca="false">IF(A33=0,-Capitalization!E$19,IF(A33&lt;=Inputs!$B$21,0,I33*J33-IF(AND(A33=Inputs!$B$22,Capitalization!E$18&gt;0),Inputs!$B$23,0)))</f>
        <v>0</v>
      </c>
      <c r="L33" s="23" t="str">
        <f aca="false">IF(H33&gt;0,G33/H33,"")</f>
        <v/>
      </c>
      <c r="M33" s="13" t="n">
        <f aca="false">IF(A33=0,-Capitalization!E$4,IF(A33&lt;=Inputs!$B$21,0,G33))</f>
        <v>0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IF(A34=0,"Equity",IF(A34&lt;=Inputs!$B$21,"Construction",IF(A34&lt;=Inputs!$B$21+Inputs!$B$5,"Queue wait",IF(A34&lt;=Inputs!$B$21+Configurations!$C$15,"Grid ops","—"))))</f>
        <v>—</v>
      </c>
      <c r="C34" s="4" t="n">
        <f aca="false">IF(A34&lt;=Inputs!$B$21,"",A34-Inputs!$B$21-1)</f>
        <v>26</v>
      </c>
      <c r="D34" s="14" t="n">
        <f aca="false">IF(OR(A34&lt;=Inputs!$B$21,A34&gt;Inputs!$B$21+Configurations!$C$15),0,Configurations!$C$4*Configurations!$C$5*8760*(1-Configurations!$C$6)^C34*Configurations!$C$7*(1-Configurations!$C$8))</f>
        <v>0</v>
      </c>
      <c r="E34" s="13" t="n">
        <f aca="false">IF(OR(A34&lt;=Inputs!$B$21,A34&gt;Inputs!$B$21+Configurations!$C$15),0,IF(A34&lt;=Inputs!$B$21+Inputs!$B$5,D34*(1-Inputs!$B$10)*Inputs!$B$19/1000000,D34*Inputs!$B$18/1000000))</f>
        <v>0</v>
      </c>
      <c r="F34" s="13" t="n">
        <f aca="false">IF(OR(A34&lt;=Inputs!$B$21,A34&gt;Inputs!$B$21+Configurations!$C$15),0,Configurations!$C$12+Configurations!$C$13+Configurations!$C$14+Inputs!$B$20*E34)</f>
        <v>0</v>
      </c>
      <c r="G34" s="13" t="n">
        <f aca="false">E34-F34</f>
        <v>0</v>
      </c>
      <c r="H34" s="21" t="n">
        <f aca="false">IF(AND(A34&gt;Inputs!$B$21,A34&lt;=Inputs!$B$21+Inputs!$B$12),Capitalization!E$12,0)</f>
        <v>0</v>
      </c>
      <c r="I34" s="13" t="n">
        <f aca="false">G34-H34</f>
        <v>0</v>
      </c>
      <c r="J34" s="22" t="n">
        <f aca="false">IF(A34&lt;=Inputs!$B$21,"",IF(AND(A34&lt;=Inputs!$B$22,Capitalization!E$18&gt;0),Inputs!$B$25,Inputs!$B$26))</f>
        <v>0.975</v>
      </c>
      <c r="K34" s="13" t="n">
        <f aca="false">IF(A34=0,-Capitalization!E$19,IF(A34&lt;=Inputs!$B$21,0,I34*J34-IF(AND(A34=Inputs!$B$22,Capitalization!E$18&gt;0),Inputs!$B$23,0)))</f>
        <v>0</v>
      </c>
      <c r="L34" s="23" t="str">
        <f aca="false">IF(H34&gt;0,G34/H34,"")</f>
        <v/>
      </c>
      <c r="M34" s="13" t="n">
        <f aca="false">IF(A34=0,-Capitalization!E$4,IF(A34&lt;=Inputs!$B$21,0,G34))</f>
        <v>0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IF(A35=0,"Equity",IF(A35&lt;=Inputs!$B$21,"Construction",IF(A35&lt;=Inputs!$B$21+Inputs!$B$5,"Queue wait",IF(A35&lt;=Inputs!$B$21+Configurations!$C$15,"Grid ops","—"))))</f>
        <v>—</v>
      </c>
      <c r="C35" s="4" t="n">
        <f aca="false">IF(A35&lt;=Inputs!$B$21,"",A35-Inputs!$B$21-1)</f>
        <v>27</v>
      </c>
      <c r="D35" s="14" t="n">
        <f aca="false">IF(OR(A35&lt;=Inputs!$B$21,A35&gt;Inputs!$B$21+Configurations!$C$15),0,Configurations!$C$4*Configurations!$C$5*8760*(1-Configurations!$C$6)^C35*Configurations!$C$7*(1-Configurations!$C$8))</f>
        <v>0</v>
      </c>
      <c r="E35" s="13" t="n">
        <f aca="false">IF(OR(A35&lt;=Inputs!$B$21,A35&gt;Inputs!$B$21+Configurations!$C$15),0,IF(A35&lt;=Inputs!$B$21+Inputs!$B$5,D35*(1-Inputs!$B$10)*Inputs!$B$19/1000000,D35*Inputs!$B$18/1000000))</f>
        <v>0</v>
      </c>
      <c r="F35" s="13" t="n">
        <f aca="false">IF(OR(A35&lt;=Inputs!$B$21,A35&gt;Inputs!$B$21+Configurations!$C$15),0,Configurations!$C$12+Configurations!$C$13+Configurations!$C$14+Inputs!$B$20*E35)</f>
        <v>0</v>
      </c>
      <c r="G35" s="13" t="n">
        <f aca="false">E35-F35</f>
        <v>0</v>
      </c>
      <c r="H35" s="21" t="n">
        <f aca="false">IF(AND(A35&gt;Inputs!$B$21,A35&lt;=Inputs!$B$21+Inputs!$B$12),Capitalization!E$12,0)</f>
        <v>0</v>
      </c>
      <c r="I35" s="13" t="n">
        <f aca="false">G35-H35</f>
        <v>0</v>
      </c>
      <c r="J35" s="22" t="n">
        <f aca="false">IF(A35&lt;=Inputs!$B$21,"",IF(AND(A35&lt;=Inputs!$B$22,Capitalization!E$18&gt;0),Inputs!$B$25,Inputs!$B$26))</f>
        <v>0.975</v>
      </c>
      <c r="K35" s="13" t="n">
        <f aca="false">IF(A35=0,-Capitalization!E$19,IF(A35&lt;=Inputs!$B$21,0,I35*J35-IF(AND(A35=Inputs!$B$22,Capitalization!E$18&gt;0),Inputs!$B$23,0)))</f>
        <v>0</v>
      </c>
      <c r="L35" s="23" t="str">
        <f aca="false">IF(H35&gt;0,G35/H35,"")</f>
        <v/>
      </c>
      <c r="M35" s="13" t="n">
        <f aca="false">IF(A35=0,-Capitalization!E$4,IF(A35&lt;=Inputs!$B$21,0,G35))</f>
        <v>0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IF(A36=0,"Equity",IF(A36&lt;=Inputs!$B$21,"Construction",IF(A36&lt;=Inputs!$B$21+Inputs!$B$5,"Queue wait",IF(A36&lt;=Inputs!$B$21+Configurations!$C$15,"Grid ops","—"))))</f>
        <v>—</v>
      </c>
      <c r="C36" s="4" t="n">
        <f aca="false">IF(A36&lt;=Inputs!$B$21,"",A36-Inputs!$B$21-1)</f>
        <v>28</v>
      </c>
      <c r="D36" s="14" t="n">
        <f aca="false">IF(OR(A36&lt;=Inputs!$B$21,A36&gt;Inputs!$B$21+Configurations!$C$15),0,Configurations!$C$4*Configurations!$C$5*8760*(1-Configurations!$C$6)^C36*Configurations!$C$7*(1-Configurations!$C$8))</f>
        <v>0</v>
      </c>
      <c r="E36" s="13" t="n">
        <f aca="false">IF(OR(A36&lt;=Inputs!$B$21,A36&gt;Inputs!$B$21+Configurations!$C$15),0,IF(A36&lt;=Inputs!$B$21+Inputs!$B$5,D36*(1-Inputs!$B$10)*Inputs!$B$19/1000000,D36*Inputs!$B$18/1000000))</f>
        <v>0</v>
      </c>
      <c r="F36" s="13" t="n">
        <f aca="false">IF(OR(A36&lt;=Inputs!$B$21,A36&gt;Inputs!$B$21+Configurations!$C$15),0,Configurations!$C$12+Configurations!$C$13+Configurations!$C$14+Inputs!$B$20*E36)</f>
        <v>0</v>
      </c>
      <c r="G36" s="13" t="n">
        <f aca="false">E36-F36</f>
        <v>0</v>
      </c>
      <c r="H36" s="21" t="n">
        <f aca="false">IF(AND(A36&gt;Inputs!$B$21,A36&lt;=Inputs!$B$21+Inputs!$B$12),Capitalization!E$12,0)</f>
        <v>0</v>
      </c>
      <c r="I36" s="13" t="n">
        <f aca="false">G36-H36</f>
        <v>0</v>
      </c>
      <c r="J36" s="22" t="n">
        <f aca="false">IF(A36&lt;=Inputs!$B$21,"",IF(AND(A36&lt;=Inputs!$B$22,Capitalization!E$18&gt;0),Inputs!$B$25,Inputs!$B$26))</f>
        <v>0.975</v>
      </c>
      <c r="K36" s="13" t="n">
        <f aca="false">IF(A36=0,-Capitalization!E$19,IF(A36&lt;=Inputs!$B$21,0,I36*J36-IF(AND(A36=Inputs!$B$22,Capitalization!E$18&gt;0),Inputs!$B$23,0)))</f>
        <v>0</v>
      </c>
      <c r="L36" s="23" t="str">
        <f aca="false">IF(H36&gt;0,G36/H36,"")</f>
        <v/>
      </c>
      <c r="M36" s="13" t="n">
        <f aca="false">IF(A36=0,-Capitalization!E$4,IF(A36&lt;=Inputs!$B$21,0,G36))</f>
        <v>0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IF(A37=0,"Equity",IF(A37&lt;=Inputs!$B$21,"Construction",IF(A37&lt;=Inputs!$B$21+Inputs!$B$5,"Queue wait",IF(A37&lt;=Inputs!$B$21+Configurations!$C$15,"Grid ops","—"))))</f>
        <v>—</v>
      </c>
      <c r="C37" s="4" t="n">
        <f aca="false">IF(A37&lt;=Inputs!$B$21,"",A37-Inputs!$B$21-1)</f>
        <v>29</v>
      </c>
      <c r="D37" s="14" t="n">
        <f aca="false">IF(OR(A37&lt;=Inputs!$B$21,A37&gt;Inputs!$B$21+Configurations!$C$15),0,Configurations!$C$4*Configurations!$C$5*8760*(1-Configurations!$C$6)^C37*Configurations!$C$7*(1-Configurations!$C$8))</f>
        <v>0</v>
      </c>
      <c r="E37" s="13" t="n">
        <f aca="false">IF(OR(A37&lt;=Inputs!$B$21,A37&gt;Inputs!$B$21+Configurations!$C$15),0,IF(A37&lt;=Inputs!$B$21+Inputs!$B$5,D37*(1-Inputs!$B$10)*Inputs!$B$19/1000000,D37*Inputs!$B$18/1000000))</f>
        <v>0</v>
      </c>
      <c r="F37" s="13" t="n">
        <f aca="false">IF(OR(A37&lt;=Inputs!$B$21,A37&gt;Inputs!$B$21+Configurations!$C$15),0,Configurations!$C$12+Configurations!$C$13+Configurations!$C$14+Inputs!$B$20*E37)</f>
        <v>0</v>
      </c>
      <c r="G37" s="13" t="n">
        <f aca="false">E37-F37</f>
        <v>0</v>
      </c>
      <c r="H37" s="21" t="n">
        <f aca="false">IF(AND(A37&gt;Inputs!$B$21,A37&lt;=Inputs!$B$21+Inputs!$B$12),Capitalization!E$12,0)</f>
        <v>0</v>
      </c>
      <c r="I37" s="13" t="n">
        <f aca="false">G37-H37</f>
        <v>0</v>
      </c>
      <c r="J37" s="22" t="n">
        <f aca="false">IF(A37&lt;=Inputs!$B$21,"",IF(AND(A37&lt;=Inputs!$B$22,Capitalization!E$18&gt;0),Inputs!$B$25,Inputs!$B$26))</f>
        <v>0.975</v>
      </c>
      <c r="K37" s="13" t="n">
        <f aca="false">IF(A37=0,-Capitalization!E$19,IF(A37&lt;=Inputs!$B$21,0,I37*J37-IF(AND(A37=Inputs!$B$22,Capitalization!E$18&gt;0),Inputs!$B$23,0)))</f>
        <v>0</v>
      </c>
      <c r="L37" s="23" t="str">
        <f aca="false">IF(H37&gt;0,G37/H37,"")</f>
        <v/>
      </c>
      <c r="M37" s="13" t="n">
        <f aca="false">IF(A37=0,-Capitalization!E$4,IF(A37&lt;=Inputs!$B$21,0,G37))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15" t="s">
        <v>110</v>
      </c>
      <c r="B2" s="17" t="n">
        <f aca="false">IRR(K5:K37)</f>
        <v>0.116138196367857</v>
      </c>
      <c r="C2" s="15" t="s">
        <v>111</v>
      </c>
      <c r="D2" s="18" t="n">
        <f aca="false">IRR(M5:M37)</f>
        <v>0.0385638602185806</v>
      </c>
      <c r="E2" s="15" t="s">
        <v>112</v>
      </c>
      <c r="F2" s="19" t="n">
        <f aca="false">K5+NPV(Inputs!$B$24,K6:K37)</f>
        <v>57.6358345257354</v>
      </c>
    </row>
    <row r="4" customFormat="false" ht="26.85" hidden="false" customHeight="false" outlineLevel="0" collapsed="false">
      <c r="A4" s="20" t="s">
        <v>113</v>
      </c>
      <c r="B4" s="20" t="s">
        <v>114</v>
      </c>
      <c r="C4" s="20" t="s">
        <v>115</v>
      </c>
      <c r="D4" s="20" t="s">
        <v>116</v>
      </c>
      <c r="E4" s="20" t="s">
        <v>117</v>
      </c>
      <c r="F4" s="20" t="s">
        <v>118</v>
      </c>
      <c r="G4" s="20" t="s">
        <v>119</v>
      </c>
      <c r="H4" s="20" t="s">
        <v>120</v>
      </c>
      <c r="I4" s="20" t="s">
        <v>121</v>
      </c>
      <c r="J4" s="20" t="s">
        <v>122</v>
      </c>
      <c r="K4" s="20" t="s">
        <v>123</v>
      </c>
      <c r="L4" s="20" t="s">
        <v>124</v>
      </c>
      <c r="M4" s="20" t="s">
        <v>125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IF(A5=0,"Equity",IF(A5&lt;=Inputs!$B$21,"Construction",IF(A5&lt;=Inputs!$B$21+Inputs!$B$5,"Queue wait",IF(A5&lt;=Inputs!$B$21+Configurations!$D$15,"Grid ops","—"))))</f>
        <v>Equity</v>
      </c>
      <c r="C5" s="4" t="str">
        <f aca="false">IF(A5&lt;=Inputs!$B$21,"",A5-Inputs!$B$21-1)</f>
        <v/>
      </c>
      <c r="D5" s="14" t="n">
        <f aca="false">IF(OR(A5&lt;=Inputs!$B$21,A5&gt;Inputs!$B$21+Configurations!$D$15),0,Configurations!$D$4*Configurations!$D$5*8760*(1-Configurations!$D$6)^C5*Configurations!$D$7*(1-Configurations!$D$8))</f>
        <v>0</v>
      </c>
      <c r="E5" s="13" t="n">
        <f aca="false">IF(OR(A5&lt;=Inputs!$B$21,A5&gt;Inputs!$B$21+Configurations!$D$15),0,IF(A5&lt;=Inputs!$B$21+Inputs!$B$5,0,D5*Inputs!$B$18/1000000))</f>
        <v>0</v>
      </c>
      <c r="F5" s="13" t="n">
        <f aca="false">IF(OR(A5&lt;=Inputs!$B$21,A5&gt;Inputs!$B$21+Configurations!$D$15),0,IF(A5&lt;=Inputs!$B$21+Inputs!$B$5,Configurations!$D$13,Configurations!$D$12+Configurations!$D$13+Inputs!$B$20*E5))</f>
        <v>0</v>
      </c>
      <c r="G5" s="13" t="n">
        <f aca="false">E5-F5</f>
        <v>0</v>
      </c>
      <c r="H5" s="21" t="n">
        <f aca="false">IF(AND(A5&gt;Inputs!$B$21,A5&lt;=Inputs!$B$21+Inputs!$B$12),Capitalization!F$12,0)</f>
        <v>0</v>
      </c>
      <c r="I5" s="13" t="n">
        <f aca="false">G5-H5</f>
        <v>0</v>
      </c>
      <c r="J5" s="22" t="str">
        <f aca="false">IF(A5&lt;=Inputs!$B$21,"",IF(AND(A5&lt;=Inputs!$B$22,Capitalization!F$18&gt;0),Inputs!$B$25,Inputs!$B$26))</f>
        <v/>
      </c>
      <c r="K5" s="13" t="n">
        <f aca="false">IF(A5=0,-Capitalization!F$19,IF(A5&lt;=Inputs!$B$21,0,I5*J5-IF(AND(A5=Inputs!$B$22,Capitalization!F$18&gt;0),Inputs!$B$23,0)))</f>
        <v>-38.5740855703227</v>
      </c>
      <c r="L5" s="23" t="str">
        <f aca="false">IF(H5&gt;0,G5/H5,"")</f>
        <v/>
      </c>
      <c r="M5" s="13" t="n">
        <f aca="false">IF(A5=0,-Capitalization!F$4,IF(A5&lt;=Inputs!$B$21,0,G5))</f>
        <v>-568.25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IF(A6=0,"Equity",IF(A6&lt;=Inputs!$B$21,"Construction",IF(A6&lt;=Inputs!$B$21+Inputs!$B$5,"Queue wait",IF(A6&lt;=Inputs!$B$21+Configurations!$D$15,"Grid ops","—"))))</f>
        <v>Construction</v>
      </c>
      <c r="C6" s="4" t="str">
        <f aca="false">IF(A6&lt;=Inputs!$B$21,"",A6-Inputs!$B$21-1)</f>
        <v/>
      </c>
      <c r="D6" s="14" t="n">
        <f aca="false">IF(OR(A6&lt;=Inputs!$B$21,A6&gt;Inputs!$B$21+Configurations!$D$15),0,Configurations!$D$4*Configurations!$D$5*8760*(1-Configurations!$D$6)^C6*Configurations!$D$7*(1-Configurations!$D$8))</f>
        <v>0</v>
      </c>
      <c r="E6" s="13" t="n">
        <f aca="false">IF(OR(A6&lt;=Inputs!$B$21,A6&gt;Inputs!$B$21+Configurations!$D$15),0,IF(A6&lt;=Inputs!$B$21+Inputs!$B$5,0,D6*Inputs!$B$18/1000000))</f>
        <v>0</v>
      </c>
      <c r="F6" s="13" t="n">
        <f aca="false">IF(OR(A6&lt;=Inputs!$B$21,A6&gt;Inputs!$B$21+Configurations!$D$15),0,IF(A6&lt;=Inputs!$B$21+Inputs!$B$5,Configurations!$D$13,Configurations!$D$12+Configurations!$D$13+Inputs!$B$20*E6))</f>
        <v>0</v>
      </c>
      <c r="G6" s="13" t="n">
        <f aca="false">E6-F6</f>
        <v>0</v>
      </c>
      <c r="H6" s="21" t="n">
        <f aca="false">IF(AND(A6&gt;Inputs!$B$21,A6&lt;=Inputs!$B$21+Inputs!$B$12),Capitalization!F$12,0)</f>
        <v>0</v>
      </c>
      <c r="I6" s="13" t="n">
        <f aca="false">G6-H6</f>
        <v>0</v>
      </c>
      <c r="J6" s="22" t="str">
        <f aca="false">IF(A6&lt;=Inputs!$B$21,"",IF(AND(A6&lt;=Inputs!$B$22,Capitalization!F$18&gt;0),Inputs!$B$25,Inputs!$B$26))</f>
        <v/>
      </c>
      <c r="K6" s="13" t="n">
        <f aca="false">IF(A6=0,-Capitalization!F$19,IF(A6&lt;=Inputs!$B$21,0,I6*J6-IF(AND(A6=Inputs!$B$22,Capitalization!F$18&gt;0),Inputs!$B$23,0)))</f>
        <v>0</v>
      </c>
      <c r="L6" s="23" t="str">
        <f aca="false">IF(H6&gt;0,G6/H6,"")</f>
        <v/>
      </c>
      <c r="M6" s="13" t="n">
        <f aca="false">IF(A6=0,-Capitalization!F$4,IF(A6&lt;=Inputs!$B$21,0,G6))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IF(A7=0,"Equity",IF(A7&lt;=Inputs!$B$21,"Construction",IF(A7&lt;=Inputs!$B$21+Inputs!$B$5,"Queue wait",IF(A7&lt;=Inputs!$B$21+Configurations!$D$15,"Grid ops","—"))))</f>
        <v>Construction</v>
      </c>
      <c r="C7" s="4" t="str">
        <f aca="false">IF(A7&lt;=Inputs!$B$21,"",A7-Inputs!$B$21-1)</f>
        <v/>
      </c>
      <c r="D7" s="14" t="n">
        <f aca="false">IF(OR(A7&lt;=Inputs!$B$21,A7&gt;Inputs!$B$21+Configurations!$D$15),0,Configurations!$D$4*Configurations!$D$5*8760*(1-Configurations!$D$6)^C7*Configurations!$D$7*(1-Configurations!$D$8))</f>
        <v>0</v>
      </c>
      <c r="E7" s="13" t="n">
        <f aca="false">IF(OR(A7&lt;=Inputs!$B$21,A7&gt;Inputs!$B$21+Configurations!$D$15),0,IF(A7&lt;=Inputs!$B$21+Inputs!$B$5,0,D7*Inputs!$B$18/1000000))</f>
        <v>0</v>
      </c>
      <c r="F7" s="13" t="n">
        <f aca="false">IF(OR(A7&lt;=Inputs!$B$21,A7&gt;Inputs!$B$21+Configurations!$D$15),0,IF(A7&lt;=Inputs!$B$21+Inputs!$B$5,Configurations!$D$13,Configurations!$D$12+Configurations!$D$13+Inputs!$B$20*E7))</f>
        <v>0</v>
      </c>
      <c r="G7" s="13" t="n">
        <f aca="false">E7-F7</f>
        <v>0</v>
      </c>
      <c r="H7" s="21" t="n">
        <f aca="false">IF(AND(A7&gt;Inputs!$B$21,A7&lt;=Inputs!$B$21+Inputs!$B$12),Capitalization!F$12,0)</f>
        <v>0</v>
      </c>
      <c r="I7" s="13" t="n">
        <f aca="false">G7-H7</f>
        <v>0</v>
      </c>
      <c r="J7" s="22" t="str">
        <f aca="false">IF(A7&lt;=Inputs!$B$21,"",IF(AND(A7&lt;=Inputs!$B$22,Capitalization!F$18&gt;0),Inputs!$B$25,Inputs!$B$26))</f>
        <v/>
      </c>
      <c r="K7" s="13" t="n">
        <f aca="false">IF(A7=0,-Capitalization!F$19,IF(A7&lt;=Inputs!$B$21,0,I7*J7-IF(AND(A7=Inputs!$B$22,Capitalization!F$18&gt;0),Inputs!$B$23,0)))</f>
        <v>0</v>
      </c>
      <c r="L7" s="23" t="str">
        <f aca="false">IF(H7&gt;0,G7/H7,"")</f>
        <v/>
      </c>
      <c r="M7" s="13" t="n">
        <f aca="false">IF(A7=0,-Capitalization!F$4,IF(A7&lt;=Inputs!$B$21,0,G7))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IF(A8=0,"Equity",IF(A8&lt;=Inputs!$B$21,"Construction",IF(A8&lt;=Inputs!$B$21+Inputs!$B$5,"Queue wait",IF(A8&lt;=Inputs!$B$21+Configurations!$D$15,"Grid ops","—"))))</f>
        <v>Queue wait</v>
      </c>
      <c r="C8" s="4" t="n">
        <f aca="false">IF(A8&lt;=Inputs!$B$21,"",A8-Inputs!$B$21-1)</f>
        <v>0</v>
      </c>
      <c r="D8" s="14" t="n">
        <f aca="false">IF(OR(A8&lt;=Inputs!$B$21,A8&gt;Inputs!$B$21+Configurations!$D$15),0,Configurations!$D$4*Configurations!$D$5*8760*(1-Configurations!$D$6)^C8*Configurations!$D$7*(1-Configurations!$D$8))</f>
        <v>730255.5</v>
      </c>
      <c r="E8" s="13" t="n">
        <f aca="false">IF(OR(A8&lt;=Inputs!$B$21,A8&gt;Inputs!$B$21+Configurations!$D$15),0,IF(A8&lt;=Inputs!$B$21+Inputs!$B$5,0,D8*Inputs!$B$18/1000000))</f>
        <v>0</v>
      </c>
      <c r="F8" s="13" t="n">
        <f aca="false">IF(OR(A8&lt;=Inputs!$B$21,A8&gt;Inputs!$B$21+Configurations!$D$15),0,IF(A8&lt;=Inputs!$B$21+Inputs!$B$5,Configurations!$D$13,Configurations!$D$12+Configurations!$D$13+Inputs!$B$20*E8))</f>
        <v>2.573</v>
      </c>
      <c r="G8" s="13" t="n">
        <f aca="false">E8-F8</f>
        <v>-2.573</v>
      </c>
      <c r="H8" s="21" t="n">
        <f aca="false">IF(AND(A8&gt;Inputs!$B$21,A8&lt;=Inputs!$B$21+Inputs!$B$12),Capitalization!F$12,0)</f>
        <v>26.1529286107929</v>
      </c>
      <c r="I8" s="13" t="n">
        <f aca="false">G8-H8</f>
        <v>-28.7259286107929</v>
      </c>
      <c r="J8" s="22" t="n">
        <f aca="false">IF(A8&lt;=Inputs!$B$21,"",IF(AND(A8&lt;=Inputs!$B$22,Capitalization!F$18&gt;0),Inputs!$B$25,Inputs!$B$26))</f>
        <v>0.7</v>
      </c>
      <c r="K8" s="13" t="n">
        <f aca="false">IF(A8=0,-Capitalization!F$19,IF(A8&lt;=Inputs!$B$21,0,I8*J8-IF(AND(A8=Inputs!$B$22,Capitalization!F$18&gt;0),Inputs!$B$23,0)))</f>
        <v>-20.1081500275551</v>
      </c>
      <c r="L8" s="23" t="n">
        <f aca="false">IF(H8&gt;0,G8/H8,"")</f>
        <v>-0.0983828632843115</v>
      </c>
      <c r="M8" s="13" t="n">
        <f aca="false">IF(A8=0,-Capitalization!F$4,IF(A8&lt;=Inputs!$B$21,0,G8))</f>
        <v>-2.573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IF(A9=0,"Equity",IF(A9&lt;=Inputs!$B$21,"Construction",IF(A9&lt;=Inputs!$B$21+Inputs!$B$5,"Queue wait",IF(A9&lt;=Inputs!$B$21+Configurations!$D$15,"Grid ops","—"))))</f>
        <v>Queue wait</v>
      </c>
      <c r="C9" s="4" t="n">
        <f aca="false">IF(A9&lt;=Inputs!$B$21,"",A9-Inputs!$B$21-1)</f>
        <v>1</v>
      </c>
      <c r="D9" s="14" t="n">
        <f aca="false">IF(OR(A9&lt;=Inputs!$B$21,A9&gt;Inputs!$B$21+Configurations!$D$15),0,Configurations!$D$4*Configurations!$D$5*8760*(1-Configurations!$D$6)^C9*Configurations!$D$7*(1-Configurations!$D$8))</f>
        <v>730255.5</v>
      </c>
      <c r="E9" s="13" t="n">
        <f aca="false">IF(OR(A9&lt;=Inputs!$B$21,A9&gt;Inputs!$B$21+Configurations!$D$15),0,IF(A9&lt;=Inputs!$B$21+Inputs!$B$5,0,D9*Inputs!$B$18/1000000))</f>
        <v>0</v>
      </c>
      <c r="F9" s="13" t="n">
        <f aca="false">IF(OR(A9&lt;=Inputs!$B$21,A9&gt;Inputs!$B$21+Configurations!$D$15),0,IF(A9&lt;=Inputs!$B$21+Inputs!$B$5,Configurations!$D$13,Configurations!$D$12+Configurations!$D$13+Inputs!$B$20*E9))</f>
        <v>2.573</v>
      </c>
      <c r="G9" s="13" t="n">
        <f aca="false">E9-F9</f>
        <v>-2.573</v>
      </c>
      <c r="H9" s="21" t="n">
        <f aca="false">IF(AND(A9&gt;Inputs!$B$21,A9&lt;=Inputs!$B$21+Inputs!$B$12),Capitalization!F$12,0)</f>
        <v>26.1529286107929</v>
      </c>
      <c r="I9" s="13" t="n">
        <f aca="false">G9-H9</f>
        <v>-28.7259286107929</v>
      </c>
      <c r="J9" s="22" t="n">
        <f aca="false">IF(A9&lt;=Inputs!$B$21,"",IF(AND(A9&lt;=Inputs!$B$22,Capitalization!F$18&gt;0),Inputs!$B$25,Inputs!$B$26))</f>
        <v>0.7</v>
      </c>
      <c r="K9" s="13" t="n">
        <f aca="false">IF(A9=0,-Capitalization!F$19,IF(A9&lt;=Inputs!$B$21,0,I9*J9-IF(AND(A9=Inputs!$B$22,Capitalization!F$18&gt;0),Inputs!$B$23,0)))</f>
        <v>-20.1081500275551</v>
      </c>
      <c r="L9" s="23" t="n">
        <f aca="false">IF(H9&gt;0,G9/H9,"")</f>
        <v>-0.0983828632843115</v>
      </c>
      <c r="M9" s="13" t="n">
        <f aca="false">IF(A9=0,-Capitalization!F$4,IF(A9&lt;=Inputs!$B$21,0,G9))</f>
        <v>-2.573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IF(A10=0,"Equity",IF(A10&lt;=Inputs!$B$21,"Construction",IF(A10&lt;=Inputs!$B$21+Inputs!$B$5,"Queue wait",IF(A10&lt;=Inputs!$B$21+Configurations!$D$15,"Grid ops","—"))))</f>
        <v>Queue wait</v>
      </c>
      <c r="C10" s="4" t="n">
        <f aca="false">IF(A10&lt;=Inputs!$B$21,"",A10-Inputs!$B$21-1)</f>
        <v>2</v>
      </c>
      <c r="D10" s="14" t="n">
        <f aca="false">IF(OR(A10&lt;=Inputs!$B$21,A10&gt;Inputs!$B$21+Configurations!$D$15),0,Configurations!$D$4*Configurations!$D$5*8760*(1-Configurations!$D$6)^C10*Configurations!$D$7*(1-Configurations!$D$8))</f>
        <v>730255.5</v>
      </c>
      <c r="E10" s="13" t="n">
        <f aca="false">IF(OR(A10&lt;=Inputs!$B$21,A10&gt;Inputs!$B$21+Configurations!$D$15),0,IF(A10&lt;=Inputs!$B$21+Inputs!$B$5,0,D10*Inputs!$B$18/1000000))</f>
        <v>0</v>
      </c>
      <c r="F10" s="13" t="n">
        <f aca="false">IF(OR(A10&lt;=Inputs!$B$21,A10&gt;Inputs!$B$21+Configurations!$D$15),0,IF(A10&lt;=Inputs!$B$21+Inputs!$B$5,Configurations!$D$13,Configurations!$D$12+Configurations!$D$13+Inputs!$B$20*E10))</f>
        <v>2.573</v>
      </c>
      <c r="G10" s="13" t="n">
        <f aca="false">E10-F10</f>
        <v>-2.573</v>
      </c>
      <c r="H10" s="21" t="n">
        <f aca="false">IF(AND(A10&gt;Inputs!$B$21,A10&lt;=Inputs!$B$21+Inputs!$B$12),Capitalization!F$12,0)</f>
        <v>26.1529286107929</v>
      </c>
      <c r="I10" s="13" t="n">
        <f aca="false">G10-H10</f>
        <v>-28.7259286107929</v>
      </c>
      <c r="J10" s="22" t="n">
        <f aca="false">IF(A10&lt;=Inputs!$B$21,"",IF(AND(A10&lt;=Inputs!$B$22,Capitalization!F$18&gt;0),Inputs!$B$25,Inputs!$B$26))</f>
        <v>0.7</v>
      </c>
      <c r="K10" s="13" t="n">
        <f aca="false">IF(A10=0,-Capitalization!F$19,IF(A10&lt;=Inputs!$B$21,0,I10*J10-IF(AND(A10=Inputs!$B$22,Capitalization!F$18&gt;0),Inputs!$B$23,0)))</f>
        <v>-20.1081500275551</v>
      </c>
      <c r="L10" s="23" t="n">
        <f aca="false">IF(H10&gt;0,G10/H10,"")</f>
        <v>-0.0983828632843115</v>
      </c>
      <c r="M10" s="13" t="n">
        <f aca="false">IF(A10=0,-Capitalization!F$4,IF(A10&lt;=Inputs!$B$21,0,G10))</f>
        <v>-2.573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IF(A11=0,"Equity",IF(A11&lt;=Inputs!$B$21,"Construction",IF(A11&lt;=Inputs!$B$21+Inputs!$B$5,"Queue wait",IF(A11&lt;=Inputs!$B$21+Configurations!$D$15,"Grid ops","—"))))</f>
        <v>Queue wait</v>
      </c>
      <c r="C11" s="4" t="n">
        <f aca="false">IF(A11&lt;=Inputs!$B$21,"",A11-Inputs!$B$21-1)</f>
        <v>3</v>
      </c>
      <c r="D11" s="14" t="n">
        <f aca="false">IF(OR(A11&lt;=Inputs!$B$21,A11&gt;Inputs!$B$21+Configurations!$D$15),0,Configurations!$D$4*Configurations!$D$5*8760*(1-Configurations!$D$6)^C11*Configurations!$D$7*(1-Configurations!$D$8))</f>
        <v>730255.5</v>
      </c>
      <c r="E11" s="13" t="n">
        <f aca="false">IF(OR(A11&lt;=Inputs!$B$21,A11&gt;Inputs!$B$21+Configurations!$D$15),0,IF(A11&lt;=Inputs!$B$21+Inputs!$B$5,0,D11*Inputs!$B$18/1000000))</f>
        <v>0</v>
      </c>
      <c r="F11" s="13" t="n">
        <f aca="false">IF(OR(A11&lt;=Inputs!$B$21,A11&gt;Inputs!$B$21+Configurations!$D$15),0,IF(A11&lt;=Inputs!$B$21+Inputs!$B$5,Configurations!$D$13,Configurations!$D$12+Configurations!$D$13+Inputs!$B$20*E11))</f>
        <v>2.573</v>
      </c>
      <c r="G11" s="13" t="n">
        <f aca="false">E11-F11</f>
        <v>-2.573</v>
      </c>
      <c r="H11" s="21" t="n">
        <f aca="false">IF(AND(A11&gt;Inputs!$B$21,A11&lt;=Inputs!$B$21+Inputs!$B$12),Capitalization!F$12,0)</f>
        <v>26.1529286107929</v>
      </c>
      <c r="I11" s="13" t="n">
        <f aca="false">G11-H11</f>
        <v>-28.7259286107929</v>
      </c>
      <c r="J11" s="22" t="n">
        <f aca="false">IF(A11&lt;=Inputs!$B$21,"",IF(AND(A11&lt;=Inputs!$B$22,Capitalization!F$18&gt;0),Inputs!$B$25,Inputs!$B$26))</f>
        <v>0.7</v>
      </c>
      <c r="K11" s="13" t="n">
        <f aca="false">IF(A11=0,-Capitalization!F$19,IF(A11&lt;=Inputs!$B$21,0,I11*J11-IF(AND(A11=Inputs!$B$22,Capitalization!F$18&gt;0),Inputs!$B$23,0)))</f>
        <v>-21.1081500275551</v>
      </c>
      <c r="L11" s="23" t="n">
        <f aca="false">IF(H11&gt;0,G11/H11,"")</f>
        <v>-0.0983828632843115</v>
      </c>
      <c r="M11" s="13" t="n">
        <f aca="false">IF(A11=0,-Capitalization!F$4,IF(A11&lt;=Inputs!$B$21,0,G11))</f>
        <v>-2.573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IF(A12=0,"Equity",IF(A12&lt;=Inputs!$B$21,"Construction",IF(A12&lt;=Inputs!$B$21+Inputs!$B$5,"Queue wait",IF(A12&lt;=Inputs!$B$21+Configurations!$D$15,"Grid ops","—"))))</f>
        <v>Grid ops</v>
      </c>
      <c r="C12" s="4" t="n">
        <f aca="false">IF(A12&lt;=Inputs!$B$21,"",A12-Inputs!$B$21-1)</f>
        <v>4</v>
      </c>
      <c r="D12" s="14" t="n">
        <f aca="false">IF(OR(A12&lt;=Inputs!$B$21,A12&gt;Inputs!$B$21+Configurations!$D$15),0,Configurations!$D$4*Configurations!$D$5*8760*(1-Configurations!$D$6)^C12*Configurations!$D$7*(1-Configurations!$D$8))</f>
        <v>730255.5</v>
      </c>
      <c r="E12" s="13" t="n">
        <f aca="false">IF(OR(A12&lt;=Inputs!$B$21,A12&gt;Inputs!$B$21+Configurations!$D$15),0,IF(A12&lt;=Inputs!$B$21+Inputs!$B$5,0,D12*Inputs!$B$18/1000000))</f>
        <v>52.578396</v>
      </c>
      <c r="F12" s="13" t="n">
        <f aca="false">IF(OR(A12&lt;=Inputs!$B$21,A12&gt;Inputs!$B$21+Configurations!$D$15),0,IF(A12&lt;=Inputs!$B$21+Inputs!$B$5,Configurations!$D$13,Configurations!$D$12+Configurations!$D$13+Inputs!$B$20*E12))</f>
        <v>7.98667594</v>
      </c>
      <c r="G12" s="13" t="n">
        <f aca="false">E12-F12</f>
        <v>44.59172006</v>
      </c>
      <c r="H12" s="21" t="n">
        <f aca="false">IF(AND(A12&gt;Inputs!$B$21,A12&lt;=Inputs!$B$21+Inputs!$B$12),Capitalization!F$12,0)</f>
        <v>26.1529286107929</v>
      </c>
      <c r="I12" s="13" t="n">
        <f aca="false">G12-H12</f>
        <v>18.4387914492071</v>
      </c>
      <c r="J12" s="22" t="n">
        <f aca="false">IF(A12&lt;=Inputs!$B$21,"",IF(AND(A12&lt;=Inputs!$B$22,Capitalization!F$18&gt;0),Inputs!$B$25,Inputs!$B$26))</f>
        <v>0.975</v>
      </c>
      <c r="K12" s="13" t="n">
        <f aca="false">IF(A12=0,-Capitalization!F$19,IF(A12&lt;=Inputs!$B$21,0,I12*J12-IF(AND(A12=Inputs!$B$22,Capitalization!F$18&gt;0),Inputs!$B$23,0)))</f>
        <v>17.9778216629769</v>
      </c>
      <c r="L12" s="23" t="n">
        <f aca="false">IF(H12&gt;0,G12/H12,"")</f>
        <v>1.70503734872727</v>
      </c>
      <c r="M12" s="13" t="n">
        <f aca="false">IF(A12=0,-Capitalization!F$4,IF(A12&lt;=Inputs!$B$21,0,G12))</f>
        <v>44.59172006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IF(A13=0,"Equity",IF(A13&lt;=Inputs!$B$21,"Construction",IF(A13&lt;=Inputs!$B$21+Inputs!$B$5,"Queue wait",IF(A13&lt;=Inputs!$B$21+Configurations!$D$15,"Grid ops","—"))))</f>
        <v>Grid ops</v>
      </c>
      <c r="C13" s="4" t="n">
        <f aca="false">IF(A13&lt;=Inputs!$B$21,"",A13-Inputs!$B$21-1)</f>
        <v>5</v>
      </c>
      <c r="D13" s="14" t="n">
        <f aca="false">IF(OR(A13&lt;=Inputs!$B$21,A13&gt;Inputs!$B$21+Configurations!$D$15),0,Configurations!$D$4*Configurations!$D$5*8760*(1-Configurations!$D$6)^C13*Configurations!$D$7*(1-Configurations!$D$8))</f>
        <v>730255.5</v>
      </c>
      <c r="E13" s="13" t="n">
        <f aca="false">IF(OR(A13&lt;=Inputs!$B$21,A13&gt;Inputs!$B$21+Configurations!$D$15),0,IF(A13&lt;=Inputs!$B$21+Inputs!$B$5,0,D13*Inputs!$B$18/1000000))</f>
        <v>52.578396</v>
      </c>
      <c r="F13" s="13" t="n">
        <f aca="false">IF(OR(A13&lt;=Inputs!$B$21,A13&gt;Inputs!$B$21+Configurations!$D$15),0,IF(A13&lt;=Inputs!$B$21+Inputs!$B$5,Configurations!$D$13,Configurations!$D$12+Configurations!$D$13+Inputs!$B$20*E13))</f>
        <v>7.98667594</v>
      </c>
      <c r="G13" s="13" t="n">
        <f aca="false">E13-F13</f>
        <v>44.59172006</v>
      </c>
      <c r="H13" s="21" t="n">
        <f aca="false">IF(AND(A13&gt;Inputs!$B$21,A13&lt;=Inputs!$B$21+Inputs!$B$12),Capitalization!F$12,0)</f>
        <v>26.1529286107929</v>
      </c>
      <c r="I13" s="13" t="n">
        <f aca="false">G13-H13</f>
        <v>18.4387914492071</v>
      </c>
      <c r="J13" s="22" t="n">
        <f aca="false">IF(A13&lt;=Inputs!$B$21,"",IF(AND(A13&lt;=Inputs!$B$22,Capitalization!F$18&gt;0),Inputs!$B$25,Inputs!$B$26))</f>
        <v>0.975</v>
      </c>
      <c r="K13" s="13" t="n">
        <f aca="false">IF(A13=0,-Capitalization!F$19,IF(A13&lt;=Inputs!$B$21,0,I13*J13-IF(AND(A13=Inputs!$B$22,Capitalization!F$18&gt;0),Inputs!$B$23,0)))</f>
        <v>17.9778216629769</v>
      </c>
      <c r="L13" s="23" t="n">
        <f aca="false">IF(H13&gt;0,G13/H13,"")</f>
        <v>1.70503734872727</v>
      </c>
      <c r="M13" s="13" t="n">
        <f aca="false">IF(A13=0,-Capitalization!F$4,IF(A13&lt;=Inputs!$B$21,0,G13))</f>
        <v>44.59172006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IF(A14=0,"Equity",IF(A14&lt;=Inputs!$B$21,"Construction",IF(A14&lt;=Inputs!$B$21+Inputs!$B$5,"Queue wait",IF(A14&lt;=Inputs!$B$21+Configurations!$D$15,"Grid ops","—"))))</f>
        <v>Grid ops</v>
      </c>
      <c r="C14" s="4" t="n">
        <f aca="false">IF(A14&lt;=Inputs!$B$21,"",A14-Inputs!$B$21-1)</f>
        <v>6</v>
      </c>
      <c r="D14" s="14" t="n">
        <f aca="false">IF(OR(A14&lt;=Inputs!$B$21,A14&gt;Inputs!$B$21+Configurations!$D$15),0,Configurations!$D$4*Configurations!$D$5*8760*(1-Configurations!$D$6)^C14*Configurations!$D$7*(1-Configurations!$D$8))</f>
        <v>730255.5</v>
      </c>
      <c r="E14" s="13" t="n">
        <f aca="false">IF(OR(A14&lt;=Inputs!$B$21,A14&gt;Inputs!$B$21+Configurations!$D$15),0,IF(A14&lt;=Inputs!$B$21+Inputs!$B$5,0,D14*Inputs!$B$18/1000000))</f>
        <v>52.578396</v>
      </c>
      <c r="F14" s="13" t="n">
        <f aca="false">IF(OR(A14&lt;=Inputs!$B$21,A14&gt;Inputs!$B$21+Configurations!$D$15),0,IF(A14&lt;=Inputs!$B$21+Inputs!$B$5,Configurations!$D$13,Configurations!$D$12+Configurations!$D$13+Inputs!$B$20*E14))</f>
        <v>7.98667594</v>
      </c>
      <c r="G14" s="13" t="n">
        <f aca="false">E14-F14</f>
        <v>44.59172006</v>
      </c>
      <c r="H14" s="21" t="n">
        <f aca="false">IF(AND(A14&gt;Inputs!$B$21,A14&lt;=Inputs!$B$21+Inputs!$B$12),Capitalization!F$12,0)</f>
        <v>26.1529286107929</v>
      </c>
      <c r="I14" s="13" t="n">
        <f aca="false">G14-H14</f>
        <v>18.4387914492071</v>
      </c>
      <c r="J14" s="22" t="n">
        <f aca="false">IF(A14&lt;=Inputs!$B$21,"",IF(AND(A14&lt;=Inputs!$B$22,Capitalization!F$18&gt;0),Inputs!$B$25,Inputs!$B$26))</f>
        <v>0.975</v>
      </c>
      <c r="K14" s="13" t="n">
        <f aca="false">IF(A14=0,-Capitalization!F$19,IF(A14&lt;=Inputs!$B$21,0,I14*J14-IF(AND(A14=Inputs!$B$22,Capitalization!F$18&gt;0),Inputs!$B$23,0)))</f>
        <v>17.9778216629769</v>
      </c>
      <c r="L14" s="23" t="n">
        <f aca="false">IF(H14&gt;0,G14/H14,"")</f>
        <v>1.70503734872727</v>
      </c>
      <c r="M14" s="13" t="n">
        <f aca="false">IF(A14=0,-Capitalization!F$4,IF(A14&lt;=Inputs!$B$21,0,G14))</f>
        <v>44.59172006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IF(A15=0,"Equity",IF(A15&lt;=Inputs!$B$21,"Construction",IF(A15&lt;=Inputs!$B$21+Inputs!$B$5,"Queue wait",IF(A15&lt;=Inputs!$B$21+Configurations!$D$15,"Grid ops","—"))))</f>
        <v>Grid ops</v>
      </c>
      <c r="C15" s="4" t="n">
        <f aca="false">IF(A15&lt;=Inputs!$B$21,"",A15-Inputs!$B$21-1)</f>
        <v>7</v>
      </c>
      <c r="D15" s="14" t="n">
        <f aca="false">IF(OR(A15&lt;=Inputs!$B$21,A15&gt;Inputs!$B$21+Configurations!$D$15),0,Configurations!$D$4*Configurations!$D$5*8760*(1-Configurations!$D$6)^C15*Configurations!$D$7*(1-Configurations!$D$8))</f>
        <v>730255.5</v>
      </c>
      <c r="E15" s="13" t="n">
        <f aca="false">IF(OR(A15&lt;=Inputs!$B$21,A15&gt;Inputs!$B$21+Configurations!$D$15),0,IF(A15&lt;=Inputs!$B$21+Inputs!$B$5,0,D15*Inputs!$B$18/1000000))</f>
        <v>52.578396</v>
      </c>
      <c r="F15" s="13" t="n">
        <f aca="false">IF(OR(A15&lt;=Inputs!$B$21,A15&gt;Inputs!$B$21+Configurations!$D$15),0,IF(A15&lt;=Inputs!$B$21+Inputs!$B$5,Configurations!$D$13,Configurations!$D$12+Configurations!$D$13+Inputs!$B$20*E15))</f>
        <v>7.98667594</v>
      </c>
      <c r="G15" s="13" t="n">
        <f aca="false">E15-F15</f>
        <v>44.59172006</v>
      </c>
      <c r="H15" s="21" t="n">
        <f aca="false">IF(AND(A15&gt;Inputs!$B$21,A15&lt;=Inputs!$B$21+Inputs!$B$12),Capitalization!F$12,0)</f>
        <v>26.1529286107929</v>
      </c>
      <c r="I15" s="13" t="n">
        <f aca="false">G15-H15</f>
        <v>18.4387914492071</v>
      </c>
      <c r="J15" s="22" t="n">
        <f aca="false">IF(A15&lt;=Inputs!$B$21,"",IF(AND(A15&lt;=Inputs!$B$22,Capitalization!F$18&gt;0),Inputs!$B$25,Inputs!$B$26))</f>
        <v>0.975</v>
      </c>
      <c r="K15" s="13" t="n">
        <f aca="false">IF(A15=0,-Capitalization!F$19,IF(A15&lt;=Inputs!$B$21,0,I15*J15-IF(AND(A15=Inputs!$B$22,Capitalization!F$18&gt;0),Inputs!$B$23,0)))</f>
        <v>17.9778216629769</v>
      </c>
      <c r="L15" s="23" t="n">
        <f aca="false">IF(H15&gt;0,G15/H15,"")</f>
        <v>1.70503734872727</v>
      </c>
      <c r="M15" s="13" t="n">
        <f aca="false">IF(A15=0,-Capitalization!F$4,IF(A15&lt;=Inputs!$B$21,0,G15))</f>
        <v>44.59172006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IF(A16=0,"Equity",IF(A16&lt;=Inputs!$B$21,"Construction",IF(A16&lt;=Inputs!$B$21+Inputs!$B$5,"Queue wait",IF(A16&lt;=Inputs!$B$21+Configurations!$D$15,"Grid ops","—"))))</f>
        <v>Grid ops</v>
      </c>
      <c r="C16" s="4" t="n">
        <f aca="false">IF(A16&lt;=Inputs!$B$21,"",A16-Inputs!$B$21-1)</f>
        <v>8</v>
      </c>
      <c r="D16" s="14" t="n">
        <f aca="false">IF(OR(A16&lt;=Inputs!$B$21,A16&gt;Inputs!$B$21+Configurations!$D$15),0,Configurations!$D$4*Configurations!$D$5*8760*(1-Configurations!$D$6)^C16*Configurations!$D$7*(1-Configurations!$D$8))</f>
        <v>730255.5</v>
      </c>
      <c r="E16" s="13" t="n">
        <f aca="false">IF(OR(A16&lt;=Inputs!$B$21,A16&gt;Inputs!$B$21+Configurations!$D$15),0,IF(A16&lt;=Inputs!$B$21+Inputs!$B$5,0,D16*Inputs!$B$18/1000000))</f>
        <v>52.578396</v>
      </c>
      <c r="F16" s="13" t="n">
        <f aca="false">IF(OR(A16&lt;=Inputs!$B$21,A16&gt;Inputs!$B$21+Configurations!$D$15),0,IF(A16&lt;=Inputs!$B$21+Inputs!$B$5,Configurations!$D$13,Configurations!$D$12+Configurations!$D$13+Inputs!$B$20*E16))</f>
        <v>7.98667594</v>
      </c>
      <c r="G16" s="13" t="n">
        <f aca="false">E16-F16</f>
        <v>44.59172006</v>
      </c>
      <c r="H16" s="21" t="n">
        <f aca="false">IF(AND(A16&gt;Inputs!$B$21,A16&lt;=Inputs!$B$21+Inputs!$B$12),Capitalization!F$12,0)</f>
        <v>26.1529286107929</v>
      </c>
      <c r="I16" s="13" t="n">
        <f aca="false">G16-H16</f>
        <v>18.4387914492071</v>
      </c>
      <c r="J16" s="22" t="n">
        <f aca="false">IF(A16&lt;=Inputs!$B$21,"",IF(AND(A16&lt;=Inputs!$B$22,Capitalization!F$18&gt;0),Inputs!$B$25,Inputs!$B$26))</f>
        <v>0.975</v>
      </c>
      <c r="K16" s="13" t="n">
        <f aca="false">IF(A16=0,-Capitalization!F$19,IF(A16&lt;=Inputs!$B$21,0,I16*J16-IF(AND(A16=Inputs!$B$22,Capitalization!F$18&gt;0),Inputs!$B$23,0)))</f>
        <v>17.9778216629769</v>
      </c>
      <c r="L16" s="23" t="n">
        <f aca="false">IF(H16&gt;0,G16/H16,"")</f>
        <v>1.70503734872727</v>
      </c>
      <c r="M16" s="13" t="n">
        <f aca="false">IF(A16=0,-Capitalization!F$4,IF(A16&lt;=Inputs!$B$21,0,G16))</f>
        <v>44.59172006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IF(A17=0,"Equity",IF(A17&lt;=Inputs!$B$21,"Construction",IF(A17&lt;=Inputs!$B$21+Inputs!$B$5,"Queue wait",IF(A17&lt;=Inputs!$B$21+Configurations!$D$15,"Grid ops","—"))))</f>
        <v>Grid ops</v>
      </c>
      <c r="C17" s="4" t="n">
        <f aca="false">IF(A17&lt;=Inputs!$B$21,"",A17-Inputs!$B$21-1)</f>
        <v>9</v>
      </c>
      <c r="D17" s="14" t="n">
        <f aca="false">IF(OR(A17&lt;=Inputs!$B$21,A17&gt;Inputs!$B$21+Configurations!$D$15),0,Configurations!$D$4*Configurations!$D$5*8760*(1-Configurations!$D$6)^C17*Configurations!$D$7*(1-Configurations!$D$8))</f>
        <v>730255.5</v>
      </c>
      <c r="E17" s="13" t="n">
        <f aca="false">IF(OR(A17&lt;=Inputs!$B$21,A17&gt;Inputs!$B$21+Configurations!$D$15),0,IF(A17&lt;=Inputs!$B$21+Inputs!$B$5,0,D17*Inputs!$B$18/1000000))</f>
        <v>52.578396</v>
      </c>
      <c r="F17" s="13" t="n">
        <f aca="false">IF(OR(A17&lt;=Inputs!$B$21,A17&gt;Inputs!$B$21+Configurations!$D$15),0,IF(A17&lt;=Inputs!$B$21+Inputs!$B$5,Configurations!$D$13,Configurations!$D$12+Configurations!$D$13+Inputs!$B$20*E17))</f>
        <v>7.98667594</v>
      </c>
      <c r="G17" s="13" t="n">
        <f aca="false">E17-F17</f>
        <v>44.59172006</v>
      </c>
      <c r="H17" s="21" t="n">
        <f aca="false">IF(AND(A17&gt;Inputs!$B$21,A17&lt;=Inputs!$B$21+Inputs!$B$12),Capitalization!F$12,0)</f>
        <v>26.1529286107929</v>
      </c>
      <c r="I17" s="13" t="n">
        <f aca="false">G17-H17</f>
        <v>18.4387914492071</v>
      </c>
      <c r="J17" s="22" t="n">
        <f aca="false">IF(A17&lt;=Inputs!$B$21,"",IF(AND(A17&lt;=Inputs!$B$22,Capitalization!F$18&gt;0),Inputs!$B$25,Inputs!$B$26))</f>
        <v>0.975</v>
      </c>
      <c r="K17" s="13" t="n">
        <f aca="false">IF(A17=0,-Capitalization!F$19,IF(A17&lt;=Inputs!$B$21,0,I17*J17-IF(AND(A17=Inputs!$B$22,Capitalization!F$18&gt;0),Inputs!$B$23,0)))</f>
        <v>17.9778216629769</v>
      </c>
      <c r="L17" s="23" t="n">
        <f aca="false">IF(H17&gt;0,G17/H17,"")</f>
        <v>1.70503734872727</v>
      </c>
      <c r="M17" s="13" t="n">
        <f aca="false">IF(A17=0,-Capitalization!F$4,IF(A17&lt;=Inputs!$B$21,0,G17))</f>
        <v>44.59172006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IF(A18=0,"Equity",IF(A18&lt;=Inputs!$B$21,"Construction",IF(A18&lt;=Inputs!$B$21+Inputs!$B$5,"Queue wait",IF(A18&lt;=Inputs!$B$21+Configurations!$D$15,"Grid ops","—"))))</f>
        <v>Grid ops</v>
      </c>
      <c r="C18" s="4" t="n">
        <f aca="false">IF(A18&lt;=Inputs!$B$21,"",A18-Inputs!$B$21-1)</f>
        <v>10</v>
      </c>
      <c r="D18" s="14" t="n">
        <f aca="false">IF(OR(A18&lt;=Inputs!$B$21,A18&gt;Inputs!$B$21+Configurations!$D$15),0,Configurations!$D$4*Configurations!$D$5*8760*(1-Configurations!$D$6)^C18*Configurations!$D$7*(1-Configurations!$D$8))</f>
        <v>730255.5</v>
      </c>
      <c r="E18" s="13" t="n">
        <f aca="false">IF(OR(A18&lt;=Inputs!$B$21,A18&gt;Inputs!$B$21+Configurations!$D$15),0,IF(A18&lt;=Inputs!$B$21+Inputs!$B$5,0,D18*Inputs!$B$18/1000000))</f>
        <v>52.578396</v>
      </c>
      <c r="F18" s="13" t="n">
        <f aca="false">IF(OR(A18&lt;=Inputs!$B$21,A18&gt;Inputs!$B$21+Configurations!$D$15),0,IF(A18&lt;=Inputs!$B$21+Inputs!$B$5,Configurations!$D$13,Configurations!$D$12+Configurations!$D$13+Inputs!$B$20*E18))</f>
        <v>7.98667594</v>
      </c>
      <c r="G18" s="13" t="n">
        <f aca="false">E18-F18</f>
        <v>44.59172006</v>
      </c>
      <c r="H18" s="21" t="n">
        <f aca="false">IF(AND(A18&gt;Inputs!$B$21,A18&lt;=Inputs!$B$21+Inputs!$B$12),Capitalization!F$12,0)</f>
        <v>26.1529286107929</v>
      </c>
      <c r="I18" s="13" t="n">
        <f aca="false">G18-H18</f>
        <v>18.4387914492071</v>
      </c>
      <c r="J18" s="22" t="n">
        <f aca="false">IF(A18&lt;=Inputs!$B$21,"",IF(AND(A18&lt;=Inputs!$B$22,Capitalization!F$18&gt;0),Inputs!$B$25,Inputs!$B$26))</f>
        <v>0.975</v>
      </c>
      <c r="K18" s="13" t="n">
        <f aca="false">IF(A18=0,-Capitalization!F$19,IF(A18&lt;=Inputs!$B$21,0,I18*J18-IF(AND(A18=Inputs!$B$22,Capitalization!F$18&gt;0),Inputs!$B$23,0)))</f>
        <v>17.9778216629769</v>
      </c>
      <c r="L18" s="23" t="n">
        <f aca="false">IF(H18&gt;0,G18/H18,"")</f>
        <v>1.70503734872727</v>
      </c>
      <c r="M18" s="13" t="n">
        <f aca="false">IF(A18=0,-Capitalization!F$4,IF(A18&lt;=Inputs!$B$21,0,G18))</f>
        <v>44.59172006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IF(A19=0,"Equity",IF(A19&lt;=Inputs!$B$21,"Construction",IF(A19&lt;=Inputs!$B$21+Inputs!$B$5,"Queue wait",IF(A19&lt;=Inputs!$B$21+Configurations!$D$15,"Grid ops","—"))))</f>
        <v>Grid ops</v>
      </c>
      <c r="C19" s="4" t="n">
        <f aca="false">IF(A19&lt;=Inputs!$B$21,"",A19-Inputs!$B$21-1)</f>
        <v>11</v>
      </c>
      <c r="D19" s="14" t="n">
        <f aca="false">IF(OR(A19&lt;=Inputs!$B$21,A19&gt;Inputs!$B$21+Configurations!$D$15),0,Configurations!$D$4*Configurations!$D$5*8760*(1-Configurations!$D$6)^C19*Configurations!$D$7*(1-Configurations!$D$8))</f>
        <v>730255.5</v>
      </c>
      <c r="E19" s="13" t="n">
        <f aca="false">IF(OR(A19&lt;=Inputs!$B$21,A19&gt;Inputs!$B$21+Configurations!$D$15),0,IF(A19&lt;=Inputs!$B$21+Inputs!$B$5,0,D19*Inputs!$B$18/1000000))</f>
        <v>52.578396</v>
      </c>
      <c r="F19" s="13" t="n">
        <f aca="false">IF(OR(A19&lt;=Inputs!$B$21,A19&gt;Inputs!$B$21+Configurations!$D$15),0,IF(A19&lt;=Inputs!$B$21+Inputs!$B$5,Configurations!$D$13,Configurations!$D$12+Configurations!$D$13+Inputs!$B$20*E19))</f>
        <v>7.98667594</v>
      </c>
      <c r="G19" s="13" t="n">
        <f aca="false">E19-F19</f>
        <v>44.59172006</v>
      </c>
      <c r="H19" s="21" t="n">
        <f aca="false">IF(AND(A19&gt;Inputs!$B$21,A19&lt;=Inputs!$B$21+Inputs!$B$12),Capitalization!F$12,0)</f>
        <v>26.1529286107929</v>
      </c>
      <c r="I19" s="13" t="n">
        <f aca="false">G19-H19</f>
        <v>18.4387914492071</v>
      </c>
      <c r="J19" s="22" t="n">
        <f aca="false">IF(A19&lt;=Inputs!$B$21,"",IF(AND(A19&lt;=Inputs!$B$22,Capitalization!F$18&gt;0),Inputs!$B$25,Inputs!$B$26))</f>
        <v>0.975</v>
      </c>
      <c r="K19" s="13" t="n">
        <f aca="false">IF(A19=0,-Capitalization!F$19,IF(A19&lt;=Inputs!$B$21,0,I19*J19-IF(AND(A19=Inputs!$B$22,Capitalization!F$18&gt;0),Inputs!$B$23,0)))</f>
        <v>17.9778216629769</v>
      </c>
      <c r="L19" s="23" t="n">
        <f aca="false">IF(H19&gt;0,G19/H19,"")</f>
        <v>1.70503734872727</v>
      </c>
      <c r="M19" s="13" t="n">
        <f aca="false">IF(A19=0,-Capitalization!F$4,IF(A19&lt;=Inputs!$B$21,0,G19))</f>
        <v>44.59172006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IF(A20=0,"Equity",IF(A20&lt;=Inputs!$B$21,"Construction",IF(A20&lt;=Inputs!$B$21+Inputs!$B$5,"Queue wait",IF(A20&lt;=Inputs!$B$21+Configurations!$D$15,"Grid ops","—"))))</f>
        <v>Grid ops</v>
      </c>
      <c r="C20" s="4" t="n">
        <f aca="false">IF(A20&lt;=Inputs!$B$21,"",A20-Inputs!$B$21-1)</f>
        <v>12</v>
      </c>
      <c r="D20" s="14" t="n">
        <f aca="false">IF(OR(A20&lt;=Inputs!$B$21,A20&gt;Inputs!$B$21+Configurations!$D$15),0,Configurations!$D$4*Configurations!$D$5*8760*(1-Configurations!$D$6)^C20*Configurations!$D$7*(1-Configurations!$D$8))</f>
        <v>730255.5</v>
      </c>
      <c r="E20" s="13" t="n">
        <f aca="false">IF(OR(A20&lt;=Inputs!$B$21,A20&gt;Inputs!$B$21+Configurations!$D$15),0,IF(A20&lt;=Inputs!$B$21+Inputs!$B$5,0,D20*Inputs!$B$18/1000000))</f>
        <v>52.578396</v>
      </c>
      <c r="F20" s="13" t="n">
        <f aca="false">IF(OR(A20&lt;=Inputs!$B$21,A20&gt;Inputs!$B$21+Configurations!$D$15),0,IF(A20&lt;=Inputs!$B$21+Inputs!$B$5,Configurations!$D$13,Configurations!$D$12+Configurations!$D$13+Inputs!$B$20*E20))</f>
        <v>7.98667594</v>
      </c>
      <c r="G20" s="13" t="n">
        <f aca="false">E20-F20</f>
        <v>44.59172006</v>
      </c>
      <c r="H20" s="21" t="n">
        <f aca="false">IF(AND(A20&gt;Inputs!$B$21,A20&lt;=Inputs!$B$21+Inputs!$B$12),Capitalization!F$12,0)</f>
        <v>26.1529286107929</v>
      </c>
      <c r="I20" s="13" t="n">
        <f aca="false">G20-H20</f>
        <v>18.4387914492071</v>
      </c>
      <c r="J20" s="22" t="n">
        <f aca="false">IF(A20&lt;=Inputs!$B$21,"",IF(AND(A20&lt;=Inputs!$B$22,Capitalization!F$18&gt;0),Inputs!$B$25,Inputs!$B$26))</f>
        <v>0.975</v>
      </c>
      <c r="K20" s="13" t="n">
        <f aca="false">IF(A20=0,-Capitalization!F$19,IF(A20&lt;=Inputs!$B$21,0,I20*J20-IF(AND(A20=Inputs!$B$22,Capitalization!F$18&gt;0),Inputs!$B$23,0)))</f>
        <v>17.9778216629769</v>
      </c>
      <c r="L20" s="23" t="n">
        <f aca="false">IF(H20&gt;0,G20/H20,"")</f>
        <v>1.70503734872727</v>
      </c>
      <c r="M20" s="13" t="n">
        <f aca="false">IF(A20=0,-Capitalization!F$4,IF(A20&lt;=Inputs!$B$21,0,G20))</f>
        <v>44.59172006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IF(A21=0,"Equity",IF(A21&lt;=Inputs!$B$21,"Construction",IF(A21&lt;=Inputs!$B$21+Inputs!$B$5,"Queue wait",IF(A21&lt;=Inputs!$B$21+Configurations!$D$15,"Grid ops","—"))))</f>
        <v>Grid ops</v>
      </c>
      <c r="C21" s="4" t="n">
        <f aca="false">IF(A21&lt;=Inputs!$B$21,"",A21-Inputs!$B$21-1)</f>
        <v>13</v>
      </c>
      <c r="D21" s="14" t="n">
        <f aca="false">IF(OR(A21&lt;=Inputs!$B$21,A21&gt;Inputs!$B$21+Configurations!$D$15),0,Configurations!$D$4*Configurations!$D$5*8760*(1-Configurations!$D$6)^C21*Configurations!$D$7*(1-Configurations!$D$8))</f>
        <v>730255.5</v>
      </c>
      <c r="E21" s="13" t="n">
        <f aca="false">IF(OR(A21&lt;=Inputs!$B$21,A21&gt;Inputs!$B$21+Configurations!$D$15),0,IF(A21&lt;=Inputs!$B$21+Inputs!$B$5,0,D21*Inputs!$B$18/1000000))</f>
        <v>52.578396</v>
      </c>
      <c r="F21" s="13" t="n">
        <f aca="false">IF(OR(A21&lt;=Inputs!$B$21,A21&gt;Inputs!$B$21+Configurations!$D$15),0,IF(A21&lt;=Inputs!$B$21+Inputs!$B$5,Configurations!$D$13,Configurations!$D$12+Configurations!$D$13+Inputs!$B$20*E21))</f>
        <v>7.98667594</v>
      </c>
      <c r="G21" s="13" t="n">
        <f aca="false">E21-F21</f>
        <v>44.59172006</v>
      </c>
      <c r="H21" s="21" t="n">
        <f aca="false">IF(AND(A21&gt;Inputs!$B$21,A21&lt;=Inputs!$B$21+Inputs!$B$12),Capitalization!F$12,0)</f>
        <v>26.1529286107929</v>
      </c>
      <c r="I21" s="13" t="n">
        <f aca="false">G21-H21</f>
        <v>18.4387914492071</v>
      </c>
      <c r="J21" s="22" t="n">
        <f aca="false">IF(A21&lt;=Inputs!$B$21,"",IF(AND(A21&lt;=Inputs!$B$22,Capitalization!F$18&gt;0),Inputs!$B$25,Inputs!$B$26))</f>
        <v>0.975</v>
      </c>
      <c r="K21" s="13" t="n">
        <f aca="false">IF(A21=0,-Capitalization!F$19,IF(A21&lt;=Inputs!$B$21,0,I21*J21-IF(AND(A21=Inputs!$B$22,Capitalization!F$18&gt;0),Inputs!$B$23,0)))</f>
        <v>17.9778216629769</v>
      </c>
      <c r="L21" s="23" t="n">
        <f aca="false">IF(H21&gt;0,G21/H21,"")</f>
        <v>1.70503734872727</v>
      </c>
      <c r="M21" s="13" t="n">
        <f aca="false">IF(A21=0,-Capitalization!F$4,IF(A21&lt;=Inputs!$B$21,0,G21))</f>
        <v>44.59172006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IF(A22=0,"Equity",IF(A22&lt;=Inputs!$B$21,"Construction",IF(A22&lt;=Inputs!$B$21+Inputs!$B$5,"Queue wait",IF(A22&lt;=Inputs!$B$21+Configurations!$D$15,"Grid ops","—"))))</f>
        <v>Grid ops</v>
      </c>
      <c r="C22" s="4" t="n">
        <f aca="false">IF(A22&lt;=Inputs!$B$21,"",A22-Inputs!$B$21-1)</f>
        <v>14</v>
      </c>
      <c r="D22" s="14" t="n">
        <f aca="false">IF(OR(A22&lt;=Inputs!$B$21,A22&gt;Inputs!$B$21+Configurations!$D$15),0,Configurations!$D$4*Configurations!$D$5*8760*(1-Configurations!$D$6)^C22*Configurations!$D$7*(1-Configurations!$D$8))</f>
        <v>730255.5</v>
      </c>
      <c r="E22" s="13" t="n">
        <f aca="false">IF(OR(A22&lt;=Inputs!$B$21,A22&gt;Inputs!$B$21+Configurations!$D$15),0,IF(A22&lt;=Inputs!$B$21+Inputs!$B$5,0,D22*Inputs!$B$18/1000000))</f>
        <v>52.578396</v>
      </c>
      <c r="F22" s="13" t="n">
        <f aca="false">IF(OR(A22&lt;=Inputs!$B$21,A22&gt;Inputs!$B$21+Configurations!$D$15),0,IF(A22&lt;=Inputs!$B$21+Inputs!$B$5,Configurations!$D$13,Configurations!$D$12+Configurations!$D$13+Inputs!$B$20*E22))</f>
        <v>7.98667594</v>
      </c>
      <c r="G22" s="13" t="n">
        <f aca="false">E22-F22</f>
        <v>44.59172006</v>
      </c>
      <c r="H22" s="21" t="n">
        <f aca="false">IF(AND(A22&gt;Inputs!$B$21,A22&lt;=Inputs!$B$21+Inputs!$B$12),Capitalization!F$12,0)</f>
        <v>26.1529286107929</v>
      </c>
      <c r="I22" s="13" t="n">
        <f aca="false">G22-H22</f>
        <v>18.4387914492071</v>
      </c>
      <c r="J22" s="22" t="n">
        <f aca="false">IF(A22&lt;=Inputs!$B$21,"",IF(AND(A22&lt;=Inputs!$B$22,Capitalization!F$18&gt;0),Inputs!$B$25,Inputs!$B$26))</f>
        <v>0.975</v>
      </c>
      <c r="K22" s="13" t="n">
        <f aca="false">IF(A22=0,-Capitalization!F$19,IF(A22&lt;=Inputs!$B$21,0,I22*J22-IF(AND(A22=Inputs!$B$22,Capitalization!F$18&gt;0),Inputs!$B$23,0)))</f>
        <v>17.9778216629769</v>
      </c>
      <c r="L22" s="23" t="n">
        <f aca="false">IF(H22&gt;0,G22/H22,"")</f>
        <v>1.70503734872727</v>
      </c>
      <c r="M22" s="13" t="n">
        <f aca="false">IF(A22=0,-Capitalization!F$4,IF(A22&lt;=Inputs!$B$21,0,G22))</f>
        <v>44.59172006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IF(A23=0,"Equity",IF(A23&lt;=Inputs!$B$21,"Construction",IF(A23&lt;=Inputs!$B$21+Inputs!$B$5,"Queue wait",IF(A23&lt;=Inputs!$B$21+Configurations!$D$15,"Grid ops","—"))))</f>
        <v>Grid ops</v>
      </c>
      <c r="C23" s="4" t="n">
        <f aca="false">IF(A23&lt;=Inputs!$B$21,"",A23-Inputs!$B$21-1)</f>
        <v>15</v>
      </c>
      <c r="D23" s="14" t="n">
        <f aca="false">IF(OR(A23&lt;=Inputs!$B$21,A23&gt;Inputs!$B$21+Configurations!$D$15),0,Configurations!$D$4*Configurations!$D$5*8760*(1-Configurations!$D$6)^C23*Configurations!$D$7*(1-Configurations!$D$8))</f>
        <v>730255.5</v>
      </c>
      <c r="E23" s="13" t="n">
        <f aca="false">IF(OR(A23&lt;=Inputs!$B$21,A23&gt;Inputs!$B$21+Configurations!$D$15),0,IF(A23&lt;=Inputs!$B$21+Inputs!$B$5,0,D23*Inputs!$B$18/1000000))</f>
        <v>52.578396</v>
      </c>
      <c r="F23" s="13" t="n">
        <f aca="false">IF(OR(A23&lt;=Inputs!$B$21,A23&gt;Inputs!$B$21+Configurations!$D$15),0,IF(A23&lt;=Inputs!$B$21+Inputs!$B$5,Configurations!$D$13,Configurations!$D$12+Configurations!$D$13+Inputs!$B$20*E23))</f>
        <v>7.98667594</v>
      </c>
      <c r="G23" s="13" t="n">
        <f aca="false">E23-F23</f>
        <v>44.59172006</v>
      </c>
      <c r="H23" s="21" t="n">
        <f aca="false">IF(AND(A23&gt;Inputs!$B$21,A23&lt;=Inputs!$B$21+Inputs!$B$12),Capitalization!F$12,0)</f>
        <v>26.1529286107929</v>
      </c>
      <c r="I23" s="13" t="n">
        <f aca="false">G23-H23</f>
        <v>18.4387914492071</v>
      </c>
      <c r="J23" s="22" t="n">
        <f aca="false">IF(A23&lt;=Inputs!$B$21,"",IF(AND(A23&lt;=Inputs!$B$22,Capitalization!F$18&gt;0),Inputs!$B$25,Inputs!$B$26))</f>
        <v>0.975</v>
      </c>
      <c r="K23" s="13" t="n">
        <f aca="false">IF(A23=0,-Capitalization!F$19,IF(A23&lt;=Inputs!$B$21,0,I23*J23-IF(AND(A23=Inputs!$B$22,Capitalization!F$18&gt;0),Inputs!$B$23,0)))</f>
        <v>17.9778216629769</v>
      </c>
      <c r="L23" s="23" t="n">
        <f aca="false">IF(H23&gt;0,G23/H23,"")</f>
        <v>1.70503734872727</v>
      </c>
      <c r="M23" s="13" t="n">
        <f aca="false">IF(A23=0,-Capitalization!F$4,IF(A23&lt;=Inputs!$B$21,0,G23))</f>
        <v>44.59172006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IF(A24=0,"Equity",IF(A24&lt;=Inputs!$B$21,"Construction",IF(A24&lt;=Inputs!$B$21+Inputs!$B$5,"Queue wait",IF(A24&lt;=Inputs!$B$21+Configurations!$D$15,"Grid ops","—"))))</f>
        <v>Grid ops</v>
      </c>
      <c r="C24" s="4" t="n">
        <f aca="false">IF(A24&lt;=Inputs!$B$21,"",A24-Inputs!$B$21-1)</f>
        <v>16</v>
      </c>
      <c r="D24" s="14" t="n">
        <f aca="false">IF(OR(A24&lt;=Inputs!$B$21,A24&gt;Inputs!$B$21+Configurations!$D$15),0,Configurations!$D$4*Configurations!$D$5*8760*(1-Configurations!$D$6)^C24*Configurations!$D$7*(1-Configurations!$D$8))</f>
        <v>730255.5</v>
      </c>
      <c r="E24" s="13" t="n">
        <f aca="false">IF(OR(A24&lt;=Inputs!$B$21,A24&gt;Inputs!$B$21+Configurations!$D$15),0,IF(A24&lt;=Inputs!$B$21+Inputs!$B$5,0,D24*Inputs!$B$18/1000000))</f>
        <v>52.578396</v>
      </c>
      <c r="F24" s="13" t="n">
        <f aca="false">IF(OR(A24&lt;=Inputs!$B$21,A24&gt;Inputs!$B$21+Configurations!$D$15),0,IF(A24&lt;=Inputs!$B$21+Inputs!$B$5,Configurations!$D$13,Configurations!$D$12+Configurations!$D$13+Inputs!$B$20*E24))</f>
        <v>7.98667594</v>
      </c>
      <c r="G24" s="13" t="n">
        <f aca="false">E24-F24</f>
        <v>44.59172006</v>
      </c>
      <c r="H24" s="21" t="n">
        <f aca="false">IF(AND(A24&gt;Inputs!$B$21,A24&lt;=Inputs!$B$21+Inputs!$B$12),Capitalization!F$12,0)</f>
        <v>26.1529286107929</v>
      </c>
      <c r="I24" s="13" t="n">
        <f aca="false">G24-H24</f>
        <v>18.4387914492071</v>
      </c>
      <c r="J24" s="22" t="n">
        <f aca="false">IF(A24&lt;=Inputs!$B$21,"",IF(AND(A24&lt;=Inputs!$B$22,Capitalization!F$18&gt;0),Inputs!$B$25,Inputs!$B$26))</f>
        <v>0.975</v>
      </c>
      <c r="K24" s="13" t="n">
        <f aca="false">IF(A24=0,-Capitalization!F$19,IF(A24&lt;=Inputs!$B$21,0,I24*J24-IF(AND(A24=Inputs!$B$22,Capitalization!F$18&gt;0),Inputs!$B$23,0)))</f>
        <v>17.9778216629769</v>
      </c>
      <c r="L24" s="23" t="n">
        <f aca="false">IF(H24&gt;0,G24/H24,"")</f>
        <v>1.70503734872727</v>
      </c>
      <c r="M24" s="13" t="n">
        <f aca="false">IF(A24=0,-Capitalization!F$4,IF(A24&lt;=Inputs!$B$21,0,G24))</f>
        <v>44.59172006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IF(A25=0,"Equity",IF(A25&lt;=Inputs!$B$21,"Construction",IF(A25&lt;=Inputs!$B$21+Inputs!$B$5,"Queue wait",IF(A25&lt;=Inputs!$B$21+Configurations!$D$15,"Grid ops","—"))))</f>
        <v>Grid ops</v>
      </c>
      <c r="C25" s="4" t="n">
        <f aca="false">IF(A25&lt;=Inputs!$B$21,"",A25-Inputs!$B$21-1)</f>
        <v>17</v>
      </c>
      <c r="D25" s="14" t="n">
        <f aca="false">IF(OR(A25&lt;=Inputs!$B$21,A25&gt;Inputs!$B$21+Configurations!$D$15),0,Configurations!$D$4*Configurations!$D$5*8760*(1-Configurations!$D$6)^C25*Configurations!$D$7*(1-Configurations!$D$8))</f>
        <v>730255.5</v>
      </c>
      <c r="E25" s="13" t="n">
        <f aca="false">IF(OR(A25&lt;=Inputs!$B$21,A25&gt;Inputs!$B$21+Configurations!$D$15),0,IF(A25&lt;=Inputs!$B$21+Inputs!$B$5,0,D25*Inputs!$B$18/1000000))</f>
        <v>52.578396</v>
      </c>
      <c r="F25" s="13" t="n">
        <f aca="false">IF(OR(A25&lt;=Inputs!$B$21,A25&gt;Inputs!$B$21+Configurations!$D$15),0,IF(A25&lt;=Inputs!$B$21+Inputs!$B$5,Configurations!$D$13,Configurations!$D$12+Configurations!$D$13+Inputs!$B$20*E25))</f>
        <v>7.98667594</v>
      </c>
      <c r="G25" s="13" t="n">
        <f aca="false">E25-F25</f>
        <v>44.59172006</v>
      </c>
      <c r="H25" s="21" t="n">
        <f aca="false">IF(AND(A25&gt;Inputs!$B$21,A25&lt;=Inputs!$B$21+Inputs!$B$12),Capitalization!F$12,0)</f>
        <v>26.1529286107929</v>
      </c>
      <c r="I25" s="13" t="n">
        <f aca="false">G25-H25</f>
        <v>18.4387914492071</v>
      </c>
      <c r="J25" s="22" t="n">
        <f aca="false">IF(A25&lt;=Inputs!$B$21,"",IF(AND(A25&lt;=Inputs!$B$22,Capitalization!F$18&gt;0),Inputs!$B$25,Inputs!$B$26))</f>
        <v>0.975</v>
      </c>
      <c r="K25" s="13" t="n">
        <f aca="false">IF(A25=0,-Capitalization!F$19,IF(A25&lt;=Inputs!$B$21,0,I25*J25-IF(AND(A25=Inputs!$B$22,Capitalization!F$18&gt;0),Inputs!$B$23,0)))</f>
        <v>17.9778216629769</v>
      </c>
      <c r="L25" s="23" t="n">
        <f aca="false">IF(H25&gt;0,G25/H25,"")</f>
        <v>1.70503734872727</v>
      </c>
      <c r="M25" s="13" t="n">
        <f aca="false">IF(A25=0,-Capitalization!F$4,IF(A25&lt;=Inputs!$B$21,0,G25))</f>
        <v>44.59172006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IF(A26=0,"Equity",IF(A26&lt;=Inputs!$B$21,"Construction",IF(A26&lt;=Inputs!$B$21+Inputs!$B$5,"Queue wait",IF(A26&lt;=Inputs!$B$21+Configurations!$D$15,"Grid ops","—"))))</f>
        <v>Grid ops</v>
      </c>
      <c r="C26" s="4" t="n">
        <f aca="false">IF(A26&lt;=Inputs!$B$21,"",A26-Inputs!$B$21-1)</f>
        <v>18</v>
      </c>
      <c r="D26" s="14" t="n">
        <f aca="false">IF(OR(A26&lt;=Inputs!$B$21,A26&gt;Inputs!$B$21+Configurations!$D$15),0,Configurations!$D$4*Configurations!$D$5*8760*(1-Configurations!$D$6)^C26*Configurations!$D$7*(1-Configurations!$D$8))</f>
        <v>730255.5</v>
      </c>
      <c r="E26" s="13" t="n">
        <f aca="false">IF(OR(A26&lt;=Inputs!$B$21,A26&gt;Inputs!$B$21+Configurations!$D$15),0,IF(A26&lt;=Inputs!$B$21+Inputs!$B$5,0,D26*Inputs!$B$18/1000000))</f>
        <v>52.578396</v>
      </c>
      <c r="F26" s="13" t="n">
        <f aca="false">IF(OR(A26&lt;=Inputs!$B$21,A26&gt;Inputs!$B$21+Configurations!$D$15),0,IF(A26&lt;=Inputs!$B$21+Inputs!$B$5,Configurations!$D$13,Configurations!$D$12+Configurations!$D$13+Inputs!$B$20*E26))</f>
        <v>7.98667594</v>
      </c>
      <c r="G26" s="13" t="n">
        <f aca="false">E26-F26</f>
        <v>44.59172006</v>
      </c>
      <c r="H26" s="21" t="n">
        <f aca="false">IF(AND(A26&gt;Inputs!$B$21,A26&lt;=Inputs!$B$21+Inputs!$B$12),Capitalization!F$12,0)</f>
        <v>26.1529286107929</v>
      </c>
      <c r="I26" s="13" t="n">
        <f aca="false">G26-H26</f>
        <v>18.4387914492071</v>
      </c>
      <c r="J26" s="22" t="n">
        <f aca="false">IF(A26&lt;=Inputs!$B$21,"",IF(AND(A26&lt;=Inputs!$B$22,Capitalization!F$18&gt;0),Inputs!$B$25,Inputs!$B$26))</f>
        <v>0.975</v>
      </c>
      <c r="K26" s="13" t="n">
        <f aca="false">IF(A26=0,-Capitalization!F$19,IF(A26&lt;=Inputs!$B$21,0,I26*J26-IF(AND(A26=Inputs!$B$22,Capitalization!F$18&gt;0),Inputs!$B$23,0)))</f>
        <v>17.9778216629769</v>
      </c>
      <c r="L26" s="23" t="n">
        <f aca="false">IF(H26&gt;0,G26/H26,"")</f>
        <v>1.70503734872727</v>
      </c>
      <c r="M26" s="13" t="n">
        <f aca="false">IF(A26=0,-Capitalization!F$4,IF(A26&lt;=Inputs!$B$21,0,G26))</f>
        <v>44.59172006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IF(A27=0,"Equity",IF(A27&lt;=Inputs!$B$21,"Construction",IF(A27&lt;=Inputs!$B$21+Inputs!$B$5,"Queue wait",IF(A27&lt;=Inputs!$B$21+Configurations!$D$15,"Grid ops","—"))))</f>
        <v>Grid ops</v>
      </c>
      <c r="C27" s="4" t="n">
        <f aca="false">IF(A27&lt;=Inputs!$B$21,"",A27-Inputs!$B$21-1)</f>
        <v>19</v>
      </c>
      <c r="D27" s="14" t="n">
        <f aca="false">IF(OR(A27&lt;=Inputs!$B$21,A27&gt;Inputs!$B$21+Configurations!$D$15),0,Configurations!$D$4*Configurations!$D$5*8760*(1-Configurations!$D$6)^C27*Configurations!$D$7*(1-Configurations!$D$8))</f>
        <v>730255.5</v>
      </c>
      <c r="E27" s="13" t="n">
        <f aca="false">IF(OR(A27&lt;=Inputs!$B$21,A27&gt;Inputs!$B$21+Configurations!$D$15),0,IF(A27&lt;=Inputs!$B$21+Inputs!$B$5,0,D27*Inputs!$B$18/1000000))</f>
        <v>52.578396</v>
      </c>
      <c r="F27" s="13" t="n">
        <f aca="false">IF(OR(A27&lt;=Inputs!$B$21,A27&gt;Inputs!$B$21+Configurations!$D$15),0,IF(A27&lt;=Inputs!$B$21+Inputs!$B$5,Configurations!$D$13,Configurations!$D$12+Configurations!$D$13+Inputs!$B$20*E27))</f>
        <v>7.98667594</v>
      </c>
      <c r="G27" s="13" t="n">
        <f aca="false">E27-F27</f>
        <v>44.59172006</v>
      </c>
      <c r="H27" s="21" t="n">
        <f aca="false">IF(AND(A27&gt;Inputs!$B$21,A27&lt;=Inputs!$B$21+Inputs!$B$12),Capitalization!F$12,0)</f>
        <v>26.1529286107929</v>
      </c>
      <c r="I27" s="13" t="n">
        <f aca="false">G27-H27</f>
        <v>18.4387914492071</v>
      </c>
      <c r="J27" s="22" t="n">
        <f aca="false">IF(A27&lt;=Inputs!$B$21,"",IF(AND(A27&lt;=Inputs!$B$22,Capitalization!F$18&gt;0),Inputs!$B$25,Inputs!$B$26))</f>
        <v>0.975</v>
      </c>
      <c r="K27" s="13" t="n">
        <f aca="false">IF(A27=0,-Capitalization!F$19,IF(A27&lt;=Inputs!$B$21,0,I27*J27-IF(AND(A27=Inputs!$B$22,Capitalization!F$18&gt;0),Inputs!$B$23,0)))</f>
        <v>17.9778216629769</v>
      </c>
      <c r="L27" s="23" t="n">
        <f aca="false">IF(H27&gt;0,G27/H27,"")</f>
        <v>1.70503734872727</v>
      </c>
      <c r="M27" s="13" t="n">
        <f aca="false">IF(A27=0,-Capitalization!F$4,IF(A27&lt;=Inputs!$B$21,0,G27))</f>
        <v>44.59172006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IF(A28=0,"Equity",IF(A28&lt;=Inputs!$B$21,"Construction",IF(A28&lt;=Inputs!$B$21+Inputs!$B$5,"Queue wait",IF(A28&lt;=Inputs!$B$21+Configurations!$D$15,"Grid ops","—"))))</f>
        <v>Grid ops</v>
      </c>
      <c r="C28" s="4" t="n">
        <f aca="false">IF(A28&lt;=Inputs!$B$21,"",A28-Inputs!$B$21-1)</f>
        <v>20</v>
      </c>
      <c r="D28" s="14" t="n">
        <f aca="false">IF(OR(A28&lt;=Inputs!$B$21,A28&gt;Inputs!$B$21+Configurations!$D$15),0,Configurations!$D$4*Configurations!$D$5*8760*(1-Configurations!$D$6)^C28*Configurations!$D$7*(1-Configurations!$D$8))</f>
        <v>730255.5</v>
      </c>
      <c r="E28" s="13" t="n">
        <f aca="false">IF(OR(A28&lt;=Inputs!$B$21,A28&gt;Inputs!$B$21+Configurations!$D$15),0,IF(A28&lt;=Inputs!$B$21+Inputs!$B$5,0,D28*Inputs!$B$18/1000000))</f>
        <v>52.578396</v>
      </c>
      <c r="F28" s="13" t="n">
        <f aca="false">IF(OR(A28&lt;=Inputs!$B$21,A28&gt;Inputs!$B$21+Configurations!$D$15),0,IF(A28&lt;=Inputs!$B$21+Inputs!$B$5,Configurations!$D$13,Configurations!$D$12+Configurations!$D$13+Inputs!$B$20*E28))</f>
        <v>7.98667594</v>
      </c>
      <c r="G28" s="13" t="n">
        <f aca="false">E28-F28</f>
        <v>44.59172006</v>
      </c>
      <c r="H28" s="21" t="n">
        <f aca="false">IF(AND(A28&gt;Inputs!$B$21,A28&lt;=Inputs!$B$21+Inputs!$B$12),Capitalization!F$12,0)</f>
        <v>0</v>
      </c>
      <c r="I28" s="13" t="n">
        <f aca="false">G28-H28</f>
        <v>44.59172006</v>
      </c>
      <c r="J28" s="22" t="n">
        <f aca="false">IF(A28&lt;=Inputs!$B$21,"",IF(AND(A28&lt;=Inputs!$B$22,Capitalization!F$18&gt;0),Inputs!$B$25,Inputs!$B$26))</f>
        <v>0.975</v>
      </c>
      <c r="K28" s="13" t="n">
        <f aca="false">IF(A28=0,-Capitalization!F$19,IF(A28&lt;=Inputs!$B$21,0,I28*J28-IF(AND(A28=Inputs!$B$22,Capitalization!F$18&gt;0),Inputs!$B$23,0)))</f>
        <v>43.4769270585</v>
      </c>
      <c r="L28" s="23" t="str">
        <f aca="false">IF(H28&gt;0,G28/H28,"")</f>
        <v/>
      </c>
      <c r="M28" s="13" t="n">
        <f aca="false">IF(A28=0,-Capitalization!F$4,IF(A28&lt;=Inputs!$B$21,0,G28))</f>
        <v>44.59172006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IF(A29=0,"Equity",IF(A29&lt;=Inputs!$B$21,"Construction",IF(A29&lt;=Inputs!$B$21+Inputs!$B$5,"Queue wait",IF(A29&lt;=Inputs!$B$21+Configurations!$D$15,"Grid ops","—"))))</f>
        <v>Grid ops</v>
      </c>
      <c r="C29" s="4" t="n">
        <f aca="false">IF(A29&lt;=Inputs!$B$21,"",A29-Inputs!$B$21-1)</f>
        <v>21</v>
      </c>
      <c r="D29" s="14" t="n">
        <f aca="false">IF(OR(A29&lt;=Inputs!$B$21,A29&gt;Inputs!$B$21+Configurations!$D$15),0,Configurations!$D$4*Configurations!$D$5*8760*(1-Configurations!$D$6)^C29*Configurations!$D$7*(1-Configurations!$D$8))</f>
        <v>730255.5</v>
      </c>
      <c r="E29" s="13" t="n">
        <f aca="false">IF(OR(A29&lt;=Inputs!$B$21,A29&gt;Inputs!$B$21+Configurations!$D$15),0,IF(A29&lt;=Inputs!$B$21+Inputs!$B$5,0,D29*Inputs!$B$18/1000000))</f>
        <v>52.578396</v>
      </c>
      <c r="F29" s="13" t="n">
        <f aca="false">IF(OR(A29&lt;=Inputs!$B$21,A29&gt;Inputs!$B$21+Configurations!$D$15),0,IF(A29&lt;=Inputs!$B$21+Inputs!$B$5,Configurations!$D$13,Configurations!$D$12+Configurations!$D$13+Inputs!$B$20*E29))</f>
        <v>7.98667594</v>
      </c>
      <c r="G29" s="13" t="n">
        <f aca="false">E29-F29</f>
        <v>44.59172006</v>
      </c>
      <c r="H29" s="21" t="n">
        <f aca="false">IF(AND(A29&gt;Inputs!$B$21,A29&lt;=Inputs!$B$21+Inputs!$B$12),Capitalization!F$12,0)</f>
        <v>0</v>
      </c>
      <c r="I29" s="13" t="n">
        <f aca="false">G29-H29</f>
        <v>44.59172006</v>
      </c>
      <c r="J29" s="22" t="n">
        <f aca="false">IF(A29&lt;=Inputs!$B$21,"",IF(AND(A29&lt;=Inputs!$B$22,Capitalization!F$18&gt;0),Inputs!$B$25,Inputs!$B$26))</f>
        <v>0.975</v>
      </c>
      <c r="K29" s="13" t="n">
        <f aca="false">IF(A29=0,-Capitalization!F$19,IF(A29&lt;=Inputs!$B$21,0,I29*J29-IF(AND(A29=Inputs!$B$22,Capitalization!F$18&gt;0),Inputs!$B$23,0)))</f>
        <v>43.4769270585</v>
      </c>
      <c r="L29" s="23" t="str">
        <f aca="false">IF(H29&gt;0,G29/H29,"")</f>
        <v/>
      </c>
      <c r="M29" s="13" t="n">
        <f aca="false">IF(A29=0,-Capitalization!F$4,IF(A29&lt;=Inputs!$B$21,0,G29))</f>
        <v>44.59172006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IF(A30=0,"Equity",IF(A30&lt;=Inputs!$B$21,"Construction",IF(A30&lt;=Inputs!$B$21+Inputs!$B$5,"Queue wait",IF(A30&lt;=Inputs!$B$21+Configurations!$D$15,"Grid ops","—"))))</f>
        <v>Grid ops</v>
      </c>
      <c r="C30" s="4" t="n">
        <f aca="false">IF(A30&lt;=Inputs!$B$21,"",A30-Inputs!$B$21-1)</f>
        <v>22</v>
      </c>
      <c r="D30" s="14" t="n">
        <f aca="false">IF(OR(A30&lt;=Inputs!$B$21,A30&gt;Inputs!$B$21+Configurations!$D$15),0,Configurations!$D$4*Configurations!$D$5*8760*(1-Configurations!$D$6)^C30*Configurations!$D$7*(1-Configurations!$D$8))</f>
        <v>730255.5</v>
      </c>
      <c r="E30" s="13" t="n">
        <f aca="false">IF(OR(A30&lt;=Inputs!$B$21,A30&gt;Inputs!$B$21+Configurations!$D$15),0,IF(A30&lt;=Inputs!$B$21+Inputs!$B$5,0,D30*Inputs!$B$18/1000000))</f>
        <v>52.578396</v>
      </c>
      <c r="F30" s="13" t="n">
        <f aca="false">IF(OR(A30&lt;=Inputs!$B$21,A30&gt;Inputs!$B$21+Configurations!$D$15),0,IF(A30&lt;=Inputs!$B$21+Inputs!$B$5,Configurations!$D$13,Configurations!$D$12+Configurations!$D$13+Inputs!$B$20*E30))</f>
        <v>7.98667594</v>
      </c>
      <c r="G30" s="13" t="n">
        <f aca="false">E30-F30</f>
        <v>44.59172006</v>
      </c>
      <c r="H30" s="21" t="n">
        <f aca="false">IF(AND(A30&gt;Inputs!$B$21,A30&lt;=Inputs!$B$21+Inputs!$B$12),Capitalization!F$12,0)</f>
        <v>0</v>
      </c>
      <c r="I30" s="13" t="n">
        <f aca="false">G30-H30</f>
        <v>44.59172006</v>
      </c>
      <c r="J30" s="22" t="n">
        <f aca="false">IF(A30&lt;=Inputs!$B$21,"",IF(AND(A30&lt;=Inputs!$B$22,Capitalization!F$18&gt;0),Inputs!$B$25,Inputs!$B$26))</f>
        <v>0.975</v>
      </c>
      <c r="K30" s="13" t="n">
        <f aca="false">IF(A30=0,-Capitalization!F$19,IF(A30&lt;=Inputs!$B$21,0,I30*J30-IF(AND(A30=Inputs!$B$22,Capitalization!F$18&gt;0),Inputs!$B$23,0)))</f>
        <v>43.4769270585</v>
      </c>
      <c r="L30" s="23" t="str">
        <f aca="false">IF(H30&gt;0,G30/H30,"")</f>
        <v/>
      </c>
      <c r="M30" s="13" t="n">
        <f aca="false">IF(A30=0,-Capitalization!F$4,IF(A30&lt;=Inputs!$B$21,0,G30))</f>
        <v>44.59172006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IF(A31=0,"Equity",IF(A31&lt;=Inputs!$B$21,"Construction",IF(A31&lt;=Inputs!$B$21+Inputs!$B$5,"Queue wait",IF(A31&lt;=Inputs!$B$21+Configurations!$D$15,"Grid ops","—"))))</f>
        <v>Grid ops</v>
      </c>
      <c r="C31" s="4" t="n">
        <f aca="false">IF(A31&lt;=Inputs!$B$21,"",A31-Inputs!$B$21-1)</f>
        <v>23</v>
      </c>
      <c r="D31" s="14" t="n">
        <f aca="false">IF(OR(A31&lt;=Inputs!$B$21,A31&gt;Inputs!$B$21+Configurations!$D$15),0,Configurations!$D$4*Configurations!$D$5*8760*(1-Configurations!$D$6)^C31*Configurations!$D$7*(1-Configurations!$D$8))</f>
        <v>730255.5</v>
      </c>
      <c r="E31" s="13" t="n">
        <f aca="false">IF(OR(A31&lt;=Inputs!$B$21,A31&gt;Inputs!$B$21+Configurations!$D$15),0,IF(A31&lt;=Inputs!$B$21+Inputs!$B$5,0,D31*Inputs!$B$18/1000000))</f>
        <v>52.578396</v>
      </c>
      <c r="F31" s="13" t="n">
        <f aca="false">IF(OR(A31&lt;=Inputs!$B$21,A31&gt;Inputs!$B$21+Configurations!$D$15),0,IF(A31&lt;=Inputs!$B$21+Inputs!$B$5,Configurations!$D$13,Configurations!$D$12+Configurations!$D$13+Inputs!$B$20*E31))</f>
        <v>7.98667594</v>
      </c>
      <c r="G31" s="13" t="n">
        <f aca="false">E31-F31</f>
        <v>44.59172006</v>
      </c>
      <c r="H31" s="21" t="n">
        <f aca="false">IF(AND(A31&gt;Inputs!$B$21,A31&lt;=Inputs!$B$21+Inputs!$B$12),Capitalization!F$12,0)</f>
        <v>0</v>
      </c>
      <c r="I31" s="13" t="n">
        <f aca="false">G31-H31</f>
        <v>44.59172006</v>
      </c>
      <c r="J31" s="22" t="n">
        <f aca="false">IF(A31&lt;=Inputs!$B$21,"",IF(AND(A31&lt;=Inputs!$B$22,Capitalization!F$18&gt;0),Inputs!$B$25,Inputs!$B$26))</f>
        <v>0.975</v>
      </c>
      <c r="K31" s="13" t="n">
        <f aca="false">IF(A31=0,-Capitalization!F$19,IF(A31&lt;=Inputs!$B$21,0,I31*J31-IF(AND(A31=Inputs!$B$22,Capitalization!F$18&gt;0),Inputs!$B$23,0)))</f>
        <v>43.4769270585</v>
      </c>
      <c r="L31" s="23" t="str">
        <f aca="false">IF(H31&gt;0,G31/H31,"")</f>
        <v/>
      </c>
      <c r="M31" s="13" t="n">
        <f aca="false">IF(A31=0,-Capitalization!F$4,IF(A31&lt;=Inputs!$B$21,0,G31))</f>
        <v>44.59172006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IF(A32=0,"Equity",IF(A32&lt;=Inputs!$B$21,"Construction",IF(A32&lt;=Inputs!$B$21+Inputs!$B$5,"Queue wait",IF(A32&lt;=Inputs!$B$21+Configurations!$D$15,"Grid ops","—"))))</f>
        <v>Grid ops</v>
      </c>
      <c r="C32" s="4" t="n">
        <f aca="false">IF(A32&lt;=Inputs!$B$21,"",A32-Inputs!$B$21-1)</f>
        <v>24</v>
      </c>
      <c r="D32" s="14" t="n">
        <f aca="false">IF(OR(A32&lt;=Inputs!$B$21,A32&gt;Inputs!$B$21+Configurations!$D$15),0,Configurations!$D$4*Configurations!$D$5*8760*(1-Configurations!$D$6)^C32*Configurations!$D$7*(1-Configurations!$D$8))</f>
        <v>730255.5</v>
      </c>
      <c r="E32" s="13" t="n">
        <f aca="false">IF(OR(A32&lt;=Inputs!$B$21,A32&gt;Inputs!$B$21+Configurations!$D$15),0,IF(A32&lt;=Inputs!$B$21+Inputs!$B$5,0,D32*Inputs!$B$18/1000000))</f>
        <v>52.578396</v>
      </c>
      <c r="F32" s="13" t="n">
        <f aca="false">IF(OR(A32&lt;=Inputs!$B$21,A32&gt;Inputs!$B$21+Configurations!$D$15),0,IF(A32&lt;=Inputs!$B$21+Inputs!$B$5,Configurations!$D$13,Configurations!$D$12+Configurations!$D$13+Inputs!$B$20*E32))</f>
        <v>7.98667594</v>
      </c>
      <c r="G32" s="13" t="n">
        <f aca="false">E32-F32</f>
        <v>44.59172006</v>
      </c>
      <c r="H32" s="21" t="n">
        <f aca="false">IF(AND(A32&gt;Inputs!$B$21,A32&lt;=Inputs!$B$21+Inputs!$B$12),Capitalization!F$12,0)</f>
        <v>0</v>
      </c>
      <c r="I32" s="13" t="n">
        <f aca="false">G32-H32</f>
        <v>44.59172006</v>
      </c>
      <c r="J32" s="22" t="n">
        <f aca="false">IF(A32&lt;=Inputs!$B$21,"",IF(AND(A32&lt;=Inputs!$B$22,Capitalization!F$18&gt;0),Inputs!$B$25,Inputs!$B$26))</f>
        <v>0.975</v>
      </c>
      <c r="K32" s="13" t="n">
        <f aca="false">IF(A32=0,-Capitalization!F$19,IF(A32&lt;=Inputs!$B$21,0,I32*J32-IF(AND(A32=Inputs!$B$22,Capitalization!F$18&gt;0),Inputs!$B$23,0)))</f>
        <v>43.4769270585</v>
      </c>
      <c r="L32" s="23" t="str">
        <f aca="false">IF(H32&gt;0,G32/H32,"")</f>
        <v/>
      </c>
      <c r="M32" s="13" t="n">
        <f aca="false">IF(A32=0,-Capitalization!F$4,IF(A32&lt;=Inputs!$B$21,0,G32))</f>
        <v>44.59172006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IF(A33=0,"Equity",IF(A33&lt;=Inputs!$B$21,"Construction",IF(A33&lt;=Inputs!$B$21+Inputs!$B$5,"Queue wait",IF(A33&lt;=Inputs!$B$21+Configurations!$D$15,"Grid ops","—"))))</f>
        <v>Grid ops</v>
      </c>
      <c r="C33" s="4" t="n">
        <f aca="false">IF(A33&lt;=Inputs!$B$21,"",A33-Inputs!$B$21-1)</f>
        <v>25</v>
      </c>
      <c r="D33" s="14" t="n">
        <f aca="false">IF(OR(A33&lt;=Inputs!$B$21,A33&gt;Inputs!$B$21+Configurations!$D$15),0,Configurations!$D$4*Configurations!$D$5*8760*(1-Configurations!$D$6)^C33*Configurations!$D$7*(1-Configurations!$D$8))</f>
        <v>730255.5</v>
      </c>
      <c r="E33" s="13" t="n">
        <f aca="false">IF(OR(A33&lt;=Inputs!$B$21,A33&gt;Inputs!$B$21+Configurations!$D$15),0,IF(A33&lt;=Inputs!$B$21+Inputs!$B$5,0,D33*Inputs!$B$18/1000000))</f>
        <v>52.578396</v>
      </c>
      <c r="F33" s="13" t="n">
        <f aca="false">IF(OR(A33&lt;=Inputs!$B$21,A33&gt;Inputs!$B$21+Configurations!$D$15),0,IF(A33&lt;=Inputs!$B$21+Inputs!$B$5,Configurations!$D$13,Configurations!$D$12+Configurations!$D$13+Inputs!$B$20*E33))</f>
        <v>7.98667594</v>
      </c>
      <c r="G33" s="13" t="n">
        <f aca="false">E33-F33</f>
        <v>44.59172006</v>
      </c>
      <c r="H33" s="21" t="n">
        <f aca="false">IF(AND(A33&gt;Inputs!$B$21,A33&lt;=Inputs!$B$21+Inputs!$B$12),Capitalization!F$12,0)</f>
        <v>0</v>
      </c>
      <c r="I33" s="13" t="n">
        <f aca="false">G33-H33</f>
        <v>44.59172006</v>
      </c>
      <c r="J33" s="22" t="n">
        <f aca="false">IF(A33&lt;=Inputs!$B$21,"",IF(AND(A33&lt;=Inputs!$B$22,Capitalization!F$18&gt;0),Inputs!$B$25,Inputs!$B$26))</f>
        <v>0.975</v>
      </c>
      <c r="K33" s="13" t="n">
        <f aca="false">IF(A33=0,-Capitalization!F$19,IF(A33&lt;=Inputs!$B$21,0,I33*J33-IF(AND(A33=Inputs!$B$22,Capitalization!F$18&gt;0),Inputs!$B$23,0)))</f>
        <v>43.4769270585</v>
      </c>
      <c r="L33" s="23" t="str">
        <f aca="false">IF(H33&gt;0,G33/H33,"")</f>
        <v/>
      </c>
      <c r="M33" s="13" t="n">
        <f aca="false">IF(A33=0,-Capitalization!F$4,IF(A33&lt;=Inputs!$B$21,0,G33))</f>
        <v>44.59172006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IF(A34=0,"Equity",IF(A34&lt;=Inputs!$B$21,"Construction",IF(A34&lt;=Inputs!$B$21+Inputs!$B$5,"Queue wait",IF(A34&lt;=Inputs!$B$21+Configurations!$D$15,"Grid ops","—"))))</f>
        <v>Grid ops</v>
      </c>
      <c r="C34" s="4" t="n">
        <f aca="false">IF(A34&lt;=Inputs!$B$21,"",A34-Inputs!$B$21-1)</f>
        <v>26</v>
      </c>
      <c r="D34" s="14" t="n">
        <f aca="false">IF(OR(A34&lt;=Inputs!$B$21,A34&gt;Inputs!$B$21+Configurations!$D$15),0,Configurations!$D$4*Configurations!$D$5*8760*(1-Configurations!$D$6)^C34*Configurations!$D$7*(1-Configurations!$D$8))</f>
        <v>730255.5</v>
      </c>
      <c r="E34" s="13" t="n">
        <f aca="false">IF(OR(A34&lt;=Inputs!$B$21,A34&gt;Inputs!$B$21+Configurations!$D$15),0,IF(A34&lt;=Inputs!$B$21+Inputs!$B$5,0,D34*Inputs!$B$18/1000000))</f>
        <v>52.578396</v>
      </c>
      <c r="F34" s="13" t="n">
        <f aca="false">IF(OR(A34&lt;=Inputs!$B$21,A34&gt;Inputs!$B$21+Configurations!$D$15),0,IF(A34&lt;=Inputs!$B$21+Inputs!$B$5,Configurations!$D$13,Configurations!$D$12+Configurations!$D$13+Inputs!$B$20*E34))</f>
        <v>7.98667594</v>
      </c>
      <c r="G34" s="13" t="n">
        <f aca="false">E34-F34</f>
        <v>44.59172006</v>
      </c>
      <c r="H34" s="21" t="n">
        <f aca="false">IF(AND(A34&gt;Inputs!$B$21,A34&lt;=Inputs!$B$21+Inputs!$B$12),Capitalization!F$12,0)</f>
        <v>0</v>
      </c>
      <c r="I34" s="13" t="n">
        <f aca="false">G34-H34</f>
        <v>44.59172006</v>
      </c>
      <c r="J34" s="22" t="n">
        <f aca="false">IF(A34&lt;=Inputs!$B$21,"",IF(AND(A34&lt;=Inputs!$B$22,Capitalization!F$18&gt;0),Inputs!$B$25,Inputs!$B$26))</f>
        <v>0.975</v>
      </c>
      <c r="K34" s="13" t="n">
        <f aca="false">IF(A34=0,-Capitalization!F$19,IF(A34&lt;=Inputs!$B$21,0,I34*J34-IF(AND(A34=Inputs!$B$22,Capitalization!F$18&gt;0),Inputs!$B$23,0)))</f>
        <v>43.4769270585</v>
      </c>
      <c r="L34" s="23" t="str">
        <f aca="false">IF(H34&gt;0,G34/H34,"")</f>
        <v/>
      </c>
      <c r="M34" s="13" t="n">
        <f aca="false">IF(A34=0,-Capitalization!F$4,IF(A34&lt;=Inputs!$B$21,0,G34))</f>
        <v>44.59172006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IF(A35=0,"Equity",IF(A35&lt;=Inputs!$B$21,"Construction",IF(A35&lt;=Inputs!$B$21+Inputs!$B$5,"Queue wait",IF(A35&lt;=Inputs!$B$21+Configurations!$D$15,"Grid ops","—"))))</f>
        <v>Grid ops</v>
      </c>
      <c r="C35" s="4" t="n">
        <f aca="false">IF(A35&lt;=Inputs!$B$21,"",A35-Inputs!$B$21-1)</f>
        <v>27</v>
      </c>
      <c r="D35" s="14" t="n">
        <f aca="false">IF(OR(A35&lt;=Inputs!$B$21,A35&gt;Inputs!$B$21+Configurations!$D$15),0,Configurations!$D$4*Configurations!$D$5*8760*(1-Configurations!$D$6)^C35*Configurations!$D$7*(1-Configurations!$D$8))</f>
        <v>730255.5</v>
      </c>
      <c r="E35" s="13" t="n">
        <f aca="false">IF(OR(A35&lt;=Inputs!$B$21,A35&gt;Inputs!$B$21+Configurations!$D$15),0,IF(A35&lt;=Inputs!$B$21+Inputs!$B$5,0,D35*Inputs!$B$18/1000000))</f>
        <v>52.578396</v>
      </c>
      <c r="F35" s="13" t="n">
        <f aca="false">IF(OR(A35&lt;=Inputs!$B$21,A35&gt;Inputs!$B$21+Configurations!$D$15),0,IF(A35&lt;=Inputs!$B$21+Inputs!$B$5,Configurations!$D$13,Configurations!$D$12+Configurations!$D$13+Inputs!$B$20*E35))</f>
        <v>7.98667594</v>
      </c>
      <c r="G35" s="13" t="n">
        <f aca="false">E35-F35</f>
        <v>44.59172006</v>
      </c>
      <c r="H35" s="21" t="n">
        <f aca="false">IF(AND(A35&gt;Inputs!$B$21,A35&lt;=Inputs!$B$21+Inputs!$B$12),Capitalization!F$12,0)</f>
        <v>0</v>
      </c>
      <c r="I35" s="13" t="n">
        <f aca="false">G35-H35</f>
        <v>44.59172006</v>
      </c>
      <c r="J35" s="22" t="n">
        <f aca="false">IF(A35&lt;=Inputs!$B$21,"",IF(AND(A35&lt;=Inputs!$B$22,Capitalization!F$18&gt;0),Inputs!$B$25,Inputs!$B$26))</f>
        <v>0.975</v>
      </c>
      <c r="K35" s="13" t="n">
        <f aca="false">IF(A35=0,-Capitalization!F$19,IF(A35&lt;=Inputs!$B$21,0,I35*J35-IF(AND(A35=Inputs!$B$22,Capitalization!F$18&gt;0),Inputs!$B$23,0)))</f>
        <v>43.4769270585</v>
      </c>
      <c r="L35" s="23" t="str">
        <f aca="false">IF(H35&gt;0,G35/H35,"")</f>
        <v/>
      </c>
      <c r="M35" s="13" t="n">
        <f aca="false">IF(A35=0,-Capitalization!F$4,IF(A35&lt;=Inputs!$B$21,0,G35))</f>
        <v>44.59172006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IF(A36=0,"Equity",IF(A36&lt;=Inputs!$B$21,"Construction",IF(A36&lt;=Inputs!$B$21+Inputs!$B$5,"Queue wait",IF(A36&lt;=Inputs!$B$21+Configurations!$D$15,"Grid ops","—"))))</f>
        <v>Grid ops</v>
      </c>
      <c r="C36" s="4" t="n">
        <f aca="false">IF(A36&lt;=Inputs!$B$21,"",A36-Inputs!$B$21-1)</f>
        <v>28</v>
      </c>
      <c r="D36" s="14" t="n">
        <f aca="false">IF(OR(A36&lt;=Inputs!$B$21,A36&gt;Inputs!$B$21+Configurations!$D$15),0,Configurations!$D$4*Configurations!$D$5*8760*(1-Configurations!$D$6)^C36*Configurations!$D$7*(1-Configurations!$D$8))</f>
        <v>730255.5</v>
      </c>
      <c r="E36" s="13" t="n">
        <f aca="false">IF(OR(A36&lt;=Inputs!$B$21,A36&gt;Inputs!$B$21+Configurations!$D$15),0,IF(A36&lt;=Inputs!$B$21+Inputs!$B$5,0,D36*Inputs!$B$18/1000000))</f>
        <v>52.578396</v>
      </c>
      <c r="F36" s="13" t="n">
        <f aca="false">IF(OR(A36&lt;=Inputs!$B$21,A36&gt;Inputs!$B$21+Configurations!$D$15),0,IF(A36&lt;=Inputs!$B$21+Inputs!$B$5,Configurations!$D$13,Configurations!$D$12+Configurations!$D$13+Inputs!$B$20*E36))</f>
        <v>7.98667594</v>
      </c>
      <c r="G36" s="13" t="n">
        <f aca="false">E36-F36</f>
        <v>44.59172006</v>
      </c>
      <c r="H36" s="21" t="n">
        <f aca="false">IF(AND(A36&gt;Inputs!$B$21,A36&lt;=Inputs!$B$21+Inputs!$B$12),Capitalization!F$12,0)</f>
        <v>0</v>
      </c>
      <c r="I36" s="13" t="n">
        <f aca="false">G36-H36</f>
        <v>44.59172006</v>
      </c>
      <c r="J36" s="22" t="n">
        <f aca="false">IF(A36&lt;=Inputs!$B$21,"",IF(AND(A36&lt;=Inputs!$B$22,Capitalization!F$18&gt;0),Inputs!$B$25,Inputs!$B$26))</f>
        <v>0.975</v>
      </c>
      <c r="K36" s="13" t="n">
        <f aca="false">IF(A36=0,-Capitalization!F$19,IF(A36&lt;=Inputs!$B$21,0,I36*J36-IF(AND(A36=Inputs!$B$22,Capitalization!F$18&gt;0),Inputs!$B$23,0)))</f>
        <v>43.4769270585</v>
      </c>
      <c r="L36" s="23" t="str">
        <f aca="false">IF(H36&gt;0,G36/H36,"")</f>
        <v/>
      </c>
      <c r="M36" s="13" t="n">
        <f aca="false">IF(A36=0,-Capitalization!F$4,IF(A36&lt;=Inputs!$B$21,0,G36))</f>
        <v>44.59172006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IF(A37=0,"Equity",IF(A37&lt;=Inputs!$B$21,"Construction",IF(A37&lt;=Inputs!$B$21+Inputs!$B$5,"Queue wait",IF(A37&lt;=Inputs!$B$21+Configurations!$D$15,"Grid ops","—"))))</f>
        <v>Grid ops</v>
      </c>
      <c r="C37" s="4" t="n">
        <f aca="false">IF(A37&lt;=Inputs!$B$21,"",A37-Inputs!$B$21-1)</f>
        <v>29</v>
      </c>
      <c r="D37" s="14" t="n">
        <f aca="false">IF(OR(A37&lt;=Inputs!$B$21,A37&gt;Inputs!$B$21+Configurations!$D$15),0,Configurations!$D$4*Configurations!$D$5*8760*(1-Configurations!$D$6)^C37*Configurations!$D$7*(1-Configurations!$D$8))</f>
        <v>730255.5</v>
      </c>
      <c r="E37" s="13" t="n">
        <f aca="false">IF(OR(A37&lt;=Inputs!$B$21,A37&gt;Inputs!$B$21+Configurations!$D$15),0,IF(A37&lt;=Inputs!$B$21+Inputs!$B$5,0,D37*Inputs!$B$18/1000000))</f>
        <v>52.578396</v>
      </c>
      <c r="F37" s="13" t="n">
        <f aca="false">IF(OR(A37&lt;=Inputs!$B$21,A37&gt;Inputs!$B$21+Configurations!$D$15),0,IF(A37&lt;=Inputs!$B$21+Inputs!$B$5,Configurations!$D$13,Configurations!$D$12+Configurations!$D$13+Inputs!$B$20*E37))</f>
        <v>7.98667594</v>
      </c>
      <c r="G37" s="13" t="n">
        <f aca="false">E37-F37</f>
        <v>44.59172006</v>
      </c>
      <c r="H37" s="21" t="n">
        <f aca="false">IF(AND(A37&gt;Inputs!$B$21,A37&lt;=Inputs!$B$21+Inputs!$B$12),Capitalization!F$12,0)</f>
        <v>0</v>
      </c>
      <c r="I37" s="13" t="n">
        <f aca="false">G37-H37</f>
        <v>44.59172006</v>
      </c>
      <c r="J37" s="22" t="n">
        <f aca="false">IF(A37&lt;=Inputs!$B$21,"",IF(AND(A37&lt;=Inputs!$B$22,Capitalization!F$18&gt;0),Inputs!$B$25,Inputs!$B$26))</f>
        <v>0.975</v>
      </c>
      <c r="K37" s="13" t="n">
        <f aca="false">IF(A37=0,-Capitalization!F$19,IF(A37&lt;=Inputs!$B$21,0,I37*J37-IF(AND(A37=Inputs!$B$22,Capitalization!F$18&gt;0),Inputs!$B$23,0)))</f>
        <v>43.4769270585</v>
      </c>
      <c r="L37" s="23" t="str">
        <f aca="false">IF(H37&gt;0,G37/H37,"")</f>
        <v/>
      </c>
      <c r="M37" s="13" t="n">
        <f aca="false">IF(A37=0,-Capitalization!F$4,IF(A37&lt;=Inputs!$B$21,0,G37))</f>
        <v>44.59172006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3" min="4" style="0" width="13"/>
  </cols>
  <sheetData>
    <row r="1" customFormat="false" ht="16.1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15" t="s">
        <v>110</v>
      </c>
      <c r="B2" s="17" t="n">
        <f aca="false">IRR(K5:K37)</f>
        <v>0.188248950280833</v>
      </c>
      <c r="C2" s="15" t="s">
        <v>111</v>
      </c>
      <c r="D2" s="18" t="n">
        <f aca="false">IRR(M5:M37)</f>
        <v>0.0502373782968184</v>
      </c>
      <c r="E2" s="15" t="s">
        <v>112</v>
      </c>
      <c r="F2" s="19" t="n">
        <f aca="false">K5+NPV(Inputs!$B$24,K6:K37)</f>
        <v>117.397883925032</v>
      </c>
    </row>
    <row r="4" customFormat="false" ht="26.85" hidden="false" customHeight="false" outlineLevel="0" collapsed="false">
      <c r="A4" s="20" t="s">
        <v>113</v>
      </c>
      <c r="B4" s="20" t="s">
        <v>114</v>
      </c>
      <c r="C4" s="20" t="s">
        <v>115</v>
      </c>
      <c r="D4" s="20" t="s">
        <v>116</v>
      </c>
      <c r="E4" s="20" t="s">
        <v>117</v>
      </c>
      <c r="F4" s="20" t="s">
        <v>118</v>
      </c>
      <c r="G4" s="20" t="s">
        <v>119</v>
      </c>
      <c r="H4" s="20" t="s">
        <v>120</v>
      </c>
      <c r="I4" s="20" t="s">
        <v>121</v>
      </c>
      <c r="J4" s="20" t="s">
        <v>122</v>
      </c>
      <c r="K4" s="20" t="s">
        <v>123</v>
      </c>
      <c r="L4" s="20" t="s">
        <v>124</v>
      </c>
      <c r="M4" s="20" t="s">
        <v>125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IF(A5=0,"Equity",IF(A5&lt;=Inputs!$B$21,"Construction",IF(A5&lt;=Inputs!$B$21+Inputs!$B$5,"Queue wait",IF(A5&lt;=Inputs!$B$21+Configurations!$D$15,"Grid ops","—"))))</f>
        <v>Equity</v>
      </c>
      <c r="C5" s="4" t="str">
        <f aca="false">IF(A5&lt;=Inputs!$B$21,"",A5-Inputs!$B$21-1)</f>
        <v/>
      </c>
      <c r="D5" s="14" t="n">
        <f aca="false">IF(OR(A5&lt;=Inputs!$B$21,A5&gt;Inputs!$B$21+Configurations!$D$15),0,Configurations!$D$4*Configurations!$D$5*8760*(1-Configurations!$D$6)^C5*Configurations!$D$7*(1-Configurations!$D$8))</f>
        <v>0</v>
      </c>
      <c r="E5" s="13" t="n">
        <f aca="false">IF(OR(A5&lt;=Inputs!$B$21,A5&gt;Inputs!$B$21+Configurations!$D$15),0,IF(A5&lt;=Inputs!$B$21+Inputs!$B$5,D5*(1-Inputs!$B$10)*Inputs!$B$19/1000000,D5*Inputs!$B$18/1000000))</f>
        <v>0</v>
      </c>
      <c r="F5" s="13" t="n">
        <f aca="false">IF(OR(A5&lt;=Inputs!$B$21,A5&gt;Inputs!$B$21+Configurations!$D$15),0,Configurations!$D$12+Configurations!$D$13+Configurations!$D$14+Inputs!$B$20*E5)</f>
        <v>0</v>
      </c>
      <c r="G5" s="13" t="n">
        <f aca="false">E5-F5</f>
        <v>0</v>
      </c>
      <c r="H5" s="21" t="n">
        <f aca="false">IF(AND(A5&gt;Inputs!$B$21,A5&lt;=Inputs!$B$21+Inputs!$B$12),Capitalization!G$12,0)</f>
        <v>0</v>
      </c>
      <c r="I5" s="13" t="n">
        <f aca="false">G5-H5</f>
        <v>0</v>
      </c>
      <c r="J5" s="22" t="str">
        <f aca="false">IF(A5&lt;=Inputs!$B$21,"",IF(AND(A5&lt;=Inputs!$B$22,Capitalization!G$18&gt;0),Inputs!$B$25,Inputs!$B$26))</f>
        <v/>
      </c>
      <c r="K5" s="13" t="n">
        <f aca="false">IF(A5=0,-Capitalization!G$19,IF(A5&lt;=Inputs!$B$21,0,I5*J5-IF(AND(A5=Inputs!$B$22,Capitalization!G$18&gt;0),Inputs!$B$23,0)))</f>
        <v>-43.9740855703227</v>
      </c>
      <c r="L5" s="23" t="str">
        <f aca="false">IF(H5&gt;0,G5/H5,"")</f>
        <v/>
      </c>
      <c r="M5" s="13" t="n">
        <f aca="false">IF(A5=0,-Capitalization!G$4,IF(A5&lt;=Inputs!$B$21,0,G5))</f>
        <v>-580.25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IF(A6=0,"Equity",IF(A6&lt;=Inputs!$B$21,"Construction",IF(A6&lt;=Inputs!$B$21+Inputs!$B$5,"Queue wait",IF(A6&lt;=Inputs!$B$21+Configurations!$D$15,"Grid ops","—"))))</f>
        <v>Construction</v>
      </c>
      <c r="C6" s="4" t="str">
        <f aca="false">IF(A6&lt;=Inputs!$B$21,"",A6-Inputs!$B$21-1)</f>
        <v/>
      </c>
      <c r="D6" s="14" t="n">
        <f aca="false">IF(OR(A6&lt;=Inputs!$B$21,A6&gt;Inputs!$B$21+Configurations!$D$15),0,Configurations!$D$4*Configurations!$D$5*8760*(1-Configurations!$D$6)^C6*Configurations!$D$7*(1-Configurations!$D$8))</f>
        <v>0</v>
      </c>
      <c r="E6" s="13" t="n">
        <f aca="false">IF(OR(A6&lt;=Inputs!$B$21,A6&gt;Inputs!$B$21+Configurations!$D$15),0,IF(A6&lt;=Inputs!$B$21+Inputs!$B$5,D6*(1-Inputs!$B$10)*Inputs!$B$19/1000000,D6*Inputs!$B$18/1000000))</f>
        <v>0</v>
      </c>
      <c r="F6" s="13" t="n">
        <f aca="false">IF(OR(A6&lt;=Inputs!$B$21,A6&gt;Inputs!$B$21+Configurations!$D$15),0,Configurations!$D$12+Configurations!$D$13+Configurations!$D$14+Inputs!$B$20*E6)</f>
        <v>0</v>
      </c>
      <c r="G6" s="13" t="n">
        <f aca="false">E6-F6</f>
        <v>0</v>
      </c>
      <c r="H6" s="21" t="n">
        <f aca="false">IF(AND(A6&gt;Inputs!$B$21,A6&lt;=Inputs!$B$21+Inputs!$B$12),Capitalization!G$12,0)</f>
        <v>0</v>
      </c>
      <c r="I6" s="13" t="n">
        <f aca="false">G6-H6</f>
        <v>0</v>
      </c>
      <c r="J6" s="22" t="str">
        <f aca="false">IF(A6&lt;=Inputs!$B$21,"",IF(AND(A6&lt;=Inputs!$B$22,Capitalization!G$18&gt;0),Inputs!$B$25,Inputs!$B$26))</f>
        <v/>
      </c>
      <c r="K6" s="13" t="n">
        <f aca="false">IF(A6=0,-Capitalization!G$19,IF(A6&lt;=Inputs!$B$21,0,I6*J6-IF(AND(A6=Inputs!$B$22,Capitalization!G$18&gt;0),Inputs!$B$23,0)))</f>
        <v>0</v>
      </c>
      <c r="L6" s="23" t="str">
        <f aca="false">IF(H6&gt;0,G6/H6,"")</f>
        <v/>
      </c>
      <c r="M6" s="13" t="n">
        <f aca="false">IF(A6=0,-Capitalization!G$4,IF(A6&lt;=Inputs!$B$21,0,G6))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IF(A7=0,"Equity",IF(A7&lt;=Inputs!$B$21,"Construction",IF(A7&lt;=Inputs!$B$21+Inputs!$B$5,"Queue wait",IF(A7&lt;=Inputs!$B$21+Configurations!$D$15,"Grid ops","—"))))</f>
        <v>Construction</v>
      </c>
      <c r="C7" s="4" t="str">
        <f aca="false">IF(A7&lt;=Inputs!$B$21,"",A7-Inputs!$B$21-1)</f>
        <v/>
      </c>
      <c r="D7" s="14" t="n">
        <f aca="false">IF(OR(A7&lt;=Inputs!$B$21,A7&gt;Inputs!$B$21+Configurations!$D$15),0,Configurations!$D$4*Configurations!$D$5*8760*(1-Configurations!$D$6)^C7*Configurations!$D$7*(1-Configurations!$D$8))</f>
        <v>0</v>
      </c>
      <c r="E7" s="13" t="n">
        <f aca="false">IF(OR(A7&lt;=Inputs!$B$21,A7&gt;Inputs!$B$21+Configurations!$D$15),0,IF(A7&lt;=Inputs!$B$21+Inputs!$B$5,D7*(1-Inputs!$B$10)*Inputs!$B$19/1000000,D7*Inputs!$B$18/1000000))</f>
        <v>0</v>
      </c>
      <c r="F7" s="13" t="n">
        <f aca="false">IF(OR(A7&lt;=Inputs!$B$21,A7&gt;Inputs!$B$21+Configurations!$D$15),0,Configurations!$D$12+Configurations!$D$13+Configurations!$D$14+Inputs!$B$20*E7)</f>
        <v>0</v>
      </c>
      <c r="G7" s="13" t="n">
        <f aca="false">E7-F7</f>
        <v>0</v>
      </c>
      <c r="H7" s="21" t="n">
        <f aca="false">IF(AND(A7&gt;Inputs!$B$21,A7&lt;=Inputs!$B$21+Inputs!$B$12),Capitalization!G$12,0)</f>
        <v>0</v>
      </c>
      <c r="I7" s="13" t="n">
        <f aca="false">G7-H7</f>
        <v>0</v>
      </c>
      <c r="J7" s="22" t="str">
        <f aca="false">IF(A7&lt;=Inputs!$B$21,"",IF(AND(A7&lt;=Inputs!$B$22,Capitalization!G$18&gt;0),Inputs!$B$25,Inputs!$B$26))</f>
        <v/>
      </c>
      <c r="K7" s="13" t="n">
        <f aca="false">IF(A7=0,-Capitalization!G$19,IF(A7&lt;=Inputs!$B$21,0,I7*J7-IF(AND(A7=Inputs!$B$22,Capitalization!G$18&gt;0),Inputs!$B$23,0)))</f>
        <v>0</v>
      </c>
      <c r="L7" s="23" t="str">
        <f aca="false">IF(H7&gt;0,G7/H7,"")</f>
        <v/>
      </c>
      <c r="M7" s="13" t="n">
        <f aca="false">IF(A7=0,-Capitalization!G$4,IF(A7&lt;=Inputs!$B$21,0,G7))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IF(A8=0,"Equity",IF(A8&lt;=Inputs!$B$21,"Construction",IF(A8&lt;=Inputs!$B$21+Inputs!$B$5,"Queue wait",IF(A8&lt;=Inputs!$B$21+Configurations!$D$15,"Grid ops","—"))))</f>
        <v>Queue wait</v>
      </c>
      <c r="C8" s="4" t="n">
        <f aca="false">IF(A8&lt;=Inputs!$B$21,"",A8-Inputs!$B$21-1)</f>
        <v>0</v>
      </c>
      <c r="D8" s="14" t="n">
        <f aca="false">IF(OR(A8&lt;=Inputs!$B$21,A8&gt;Inputs!$B$21+Configurations!$D$15),0,Configurations!$D$4*Configurations!$D$5*8760*(1-Configurations!$D$6)^C8*Configurations!$D$7*(1-Configurations!$D$8))</f>
        <v>730255.5</v>
      </c>
      <c r="E8" s="13" t="n">
        <f aca="false">IF(OR(A8&lt;=Inputs!$B$21,A8&gt;Inputs!$B$21+Configurations!$D$15),0,IF(A8&lt;=Inputs!$B$21+Inputs!$B$5,D8*(1-Inputs!$B$10)*Inputs!$B$19/1000000,D8*Inputs!$B$18/1000000))</f>
        <v>43.3771767</v>
      </c>
      <c r="F8" s="13" t="n">
        <f aca="false">IF(OR(A8&lt;=Inputs!$B$21,A8&gt;Inputs!$B$21+Configurations!$D$15),0,Configurations!$D$12+Configurations!$D$13+Configurations!$D$14+Inputs!$B$20*E8)</f>
        <v>8.5986576505</v>
      </c>
      <c r="G8" s="13" t="n">
        <f aca="false">E8-F8</f>
        <v>34.7785190495</v>
      </c>
      <c r="H8" s="21" t="n">
        <f aca="false">IF(AND(A8&gt;Inputs!$B$21,A8&lt;=Inputs!$B$21+Inputs!$B$12),Capitalization!G$12,0)</f>
        <v>26.7052121890235</v>
      </c>
      <c r="I8" s="13" t="n">
        <f aca="false">G8-H8</f>
        <v>8.07330686047649</v>
      </c>
      <c r="J8" s="22" t="n">
        <f aca="false">IF(A8&lt;=Inputs!$B$21,"",IF(AND(A8&lt;=Inputs!$B$22,Capitalization!G$18&gt;0),Inputs!$B$25,Inputs!$B$26))</f>
        <v>0.7</v>
      </c>
      <c r="K8" s="13" t="n">
        <f aca="false">IF(A8=0,-Capitalization!G$19,IF(A8&lt;=Inputs!$B$21,0,I8*J8-IF(AND(A8=Inputs!$B$22,Capitalization!G$18&gt;0),Inputs!$B$23,0)))</f>
        <v>5.65131480233354</v>
      </c>
      <c r="L8" s="23" t="n">
        <f aca="false">IF(H8&gt;0,G8/H8,"")</f>
        <v>1.3023120282038</v>
      </c>
      <c r="M8" s="13" t="n">
        <f aca="false">IF(A8=0,-Capitalization!G$4,IF(A8&lt;=Inputs!$B$21,0,G8))</f>
        <v>34.7785190495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IF(A9=0,"Equity",IF(A9&lt;=Inputs!$B$21,"Construction",IF(A9&lt;=Inputs!$B$21+Inputs!$B$5,"Queue wait",IF(A9&lt;=Inputs!$B$21+Configurations!$D$15,"Grid ops","—"))))</f>
        <v>Queue wait</v>
      </c>
      <c r="C9" s="4" t="n">
        <f aca="false">IF(A9&lt;=Inputs!$B$21,"",A9-Inputs!$B$21-1)</f>
        <v>1</v>
      </c>
      <c r="D9" s="14" t="n">
        <f aca="false">IF(OR(A9&lt;=Inputs!$B$21,A9&gt;Inputs!$B$21+Configurations!$D$15),0,Configurations!$D$4*Configurations!$D$5*8760*(1-Configurations!$D$6)^C9*Configurations!$D$7*(1-Configurations!$D$8))</f>
        <v>730255.5</v>
      </c>
      <c r="E9" s="13" t="n">
        <f aca="false">IF(OR(A9&lt;=Inputs!$B$21,A9&gt;Inputs!$B$21+Configurations!$D$15),0,IF(A9&lt;=Inputs!$B$21+Inputs!$B$5,D9*(1-Inputs!$B$10)*Inputs!$B$19/1000000,D9*Inputs!$B$18/1000000))</f>
        <v>43.3771767</v>
      </c>
      <c r="F9" s="13" t="n">
        <f aca="false">IF(OR(A9&lt;=Inputs!$B$21,A9&gt;Inputs!$B$21+Configurations!$D$15),0,Configurations!$D$12+Configurations!$D$13+Configurations!$D$14+Inputs!$B$20*E9)</f>
        <v>8.5986576505</v>
      </c>
      <c r="G9" s="13" t="n">
        <f aca="false">E9-F9</f>
        <v>34.7785190495</v>
      </c>
      <c r="H9" s="21" t="n">
        <f aca="false">IF(AND(A9&gt;Inputs!$B$21,A9&lt;=Inputs!$B$21+Inputs!$B$12),Capitalization!G$12,0)</f>
        <v>26.7052121890235</v>
      </c>
      <c r="I9" s="13" t="n">
        <f aca="false">G9-H9</f>
        <v>8.07330686047649</v>
      </c>
      <c r="J9" s="22" t="n">
        <f aca="false">IF(A9&lt;=Inputs!$B$21,"",IF(AND(A9&lt;=Inputs!$B$22,Capitalization!G$18&gt;0),Inputs!$B$25,Inputs!$B$26))</f>
        <v>0.7</v>
      </c>
      <c r="K9" s="13" t="n">
        <f aca="false">IF(A9=0,-Capitalization!G$19,IF(A9&lt;=Inputs!$B$21,0,I9*J9-IF(AND(A9=Inputs!$B$22,Capitalization!G$18&gt;0),Inputs!$B$23,0)))</f>
        <v>5.65131480233354</v>
      </c>
      <c r="L9" s="23" t="n">
        <f aca="false">IF(H9&gt;0,G9/H9,"")</f>
        <v>1.3023120282038</v>
      </c>
      <c r="M9" s="13" t="n">
        <f aca="false">IF(A9=0,-Capitalization!G$4,IF(A9&lt;=Inputs!$B$21,0,G9))</f>
        <v>34.7785190495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IF(A10=0,"Equity",IF(A10&lt;=Inputs!$B$21,"Construction",IF(A10&lt;=Inputs!$B$21+Inputs!$B$5,"Queue wait",IF(A10&lt;=Inputs!$B$21+Configurations!$D$15,"Grid ops","—"))))</f>
        <v>Queue wait</v>
      </c>
      <c r="C10" s="4" t="n">
        <f aca="false">IF(A10&lt;=Inputs!$B$21,"",A10-Inputs!$B$21-1)</f>
        <v>2</v>
      </c>
      <c r="D10" s="14" t="n">
        <f aca="false">IF(OR(A10&lt;=Inputs!$B$21,A10&gt;Inputs!$B$21+Configurations!$D$15),0,Configurations!$D$4*Configurations!$D$5*8760*(1-Configurations!$D$6)^C10*Configurations!$D$7*(1-Configurations!$D$8))</f>
        <v>730255.5</v>
      </c>
      <c r="E10" s="13" t="n">
        <f aca="false">IF(OR(A10&lt;=Inputs!$B$21,A10&gt;Inputs!$B$21+Configurations!$D$15),0,IF(A10&lt;=Inputs!$B$21+Inputs!$B$5,D10*(1-Inputs!$B$10)*Inputs!$B$19/1000000,D10*Inputs!$B$18/1000000))</f>
        <v>43.3771767</v>
      </c>
      <c r="F10" s="13" t="n">
        <f aca="false">IF(OR(A10&lt;=Inputs!$B$21,A10&gt;Inputs!$B$21+Configurations!$D$15),0,Configurations!$D$12+Configurations!$D$13+Configurations!$D$14+Inputs!$B$20*E10)</f>
        <v>8.5986576505</v>
      </c>
      <c r="G10" s="13" t="n">
        <f aca="false">E10-F10</f>
        <v>34.7785190495</v>
      </c>
      <c r="H10" s="21" t="n">
        <f aca="false">IF(AND(A10&gt;Inputs!$B$21,A10&lt;=Inputs!$B$21+Inputs!$B$12),Capitalization!G$12,0)</f>
        <v>26.7052121890235</v>
      </c>
      <c r="I10" s="13" t="n">
        <f aca="false">G10-H10</f>
        <v>8.07330686047649</v>
      </c>
      <c r="J10" s="22" t="n">
        <f aca="false">IF(A10&lt;=Inputs!$B$21,"",IF(AND(A10&lt;=Inputs!$B$22,Capitalization!G$18&gt;0),Inputs!$B$25,Inputs!$B$26))</f>
        <v>0.7</v>
      </c>
      <c r="K10" s="13" t="n">
        <f aca="false">IF(A10=0,-Capitalization!G$19,IF(A10&lt;=Inputs!$B$21,0,I10*J10-IF(AND(A10=Inputs!$B$22,Capitalization!G$18&gt;0),Inputs!$B$23,0)))</f>
        <v>5.65131480233354</v>
      </c>
      <c r="L10" s="23" t="n">
        <f aca="false">IF(H10&gt;0,G10/H10,"")</f>
        <v>1.3023120282038</v>
      </c>
      <c r="M10" s="13" t="n">
        <f aca="false">IF(A10=0,-Capitalization!G$4,IF(A10&lt;=Inputs!$B$21,0,G10))</f>
        <v>34.7785190495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IF(A11=0,"Equity",IF(A11&lt;=Inputs!$B$21,"Construction",IF(A11&lt;=Inputs!$B$21+Inputs!$B$5,"Queue wait",IF(A11&lt;=Inputs!$B$21+Configurations!$D$15,"Grid ops","—"))))</f>
        <v>Queue wait</v>
      </c>
      <c r="C11" s="4" t="n">
        <f aca="false">IF(A11&lt;=Inputs!$B$21,"",A11-Inputs!$B$21-1)</f>
        <v>3</v>
      </c>
      <c r="D11" s="14" t="n">
        <f aca="false">IF(OR(A11&lt;=Inputs!$B$21,A11&gt;Inputs!$B$21+Configurations!$D$15),0,Configurations!$D$4*Configurations!$D$5*8760*(1-Configurations!$D$6)^C11*Configurations!$D$7*(1-Configurations!$D$8))</f>
        <v>730255.5</v>
      </c>
      <c r="E11" s="13" t="n">
        <f aca="false">IF(OR(A11&lt;=Inputs!$B$21,A11&gt;Inputs!$B$21+Configurations!$D$15),0,IF(A11&lt;=Inputs!$B$21+Inputs!$B$5,D11*(1-Inputs!$B$10)*Inputs!$B$19/1000000,D11*Inputs!$B$18/1000000))</f>
        <v>43.3771767</v>
      </c>
      <c r="F11" s="13" t="n">
        <f aca="false">IF(OR(A11&lt;=Inputs!$B$21,A11&gt;Inputs!$B$21+Configurations!$D$15),0,Configurations!$D$12+Configurations!$D$13+Configurations!$D$14+Inputs!$B$20*E11)</f>
        <v>8.5986576505</v>
      </c>
      <c r="G11" s="13" t="n">
        <f aca="false">E11-F11</f>
        <v>34.7785190495</v>
      </c>
      <c r="H11" s="21" t="n">
        <f aca="false">IF(AND(A11&gt;Inputs!$B$21,A11&lt;=Inputs!$B$21+Inputs!$B$12),Capitalization!G$12,0)</f>
        <v>26.7052121890235</v>
      </c>
      <c r="I11" s="13" t="n">
        <f aca="false">G11-H11</f>
        <v>8.07330686047649</v>
      </c>
      <c r="J11" s="22" t="n">
        <f aca="false">IF(A11&lt;=Inputs!$B$21,"",IF(AND(A11&lt;=Inputs!$B$22,Capitalization!G$18&gt;0),Inputs!$B$25,Inputs!$B$26))</f>
        <v>0.7</v>
      </c>
      <c r="K11" s="13" t="n">
        <f aca="false">IF(A11=0,-Capitalization!G$19,IF(A11&lt;=Inputs!$B$21,0,I11*J11-IF(AND(A11=Inputs!$B$22,Capitalization!G$18&gt;0),Inputs!$B$23,0)))</f>
        <v>4.65131480233354</v>
      </c>
      <c r="L11" s="23" t="n">
        <f aca="false">IF(H11&gt;0,G11/H11,"")</f>
        <v>1.3023120282038</v>
      </c>
      <c r="M11" s="13" t="n">
        <f aca="false">IF(A11=0,-Capitalization!G$4,IF(A11&lt;=Inputs!$B$21,0,G11))</f>
        <v>34.7785190495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IF(A12=0,"Equity",IF(A12&lt;=Inputs!$B$21,"Construction",IF(A12&lt;=Inputs!$B$21+Inputs!$B$5,"Queue wait",IF(A12&lt;=Inputs!$B$21+Configurations!$D$15,"Grid ops","—"))))</f>
        <v>Grid ops</v>
      </c>
      <c r="C12" s="4" t="n">
        <f aca="false">IF(A12&lt;=Inputs!$B$21,"",A12-Inputs!$B$21-1)</f>
        <v>4</v>
      </c>
      <c r="D12" s="14" t="n">
        <f aca="false">IF(OR(A12&lt;=Inputs!$B$21,A12&gt;Inputs!$B$21+Configurations!$D$15),0,Configurations!$D$4*Configurations!$D$5*8760*(1-Configurations!$D$6)^C12*Configurations!$D$7*(1-Configurations!$D$8))</f>
        <v>730255.5</v>
      </c>
      <c r="E12" s="13" t="n">
        <f aca="false">IF(OR(A12&lt;=Inputs!$B$21,A12&gt;Inputs!$B$21+Configurations!$D$15),0,IF(A12&lt;=Inputs!$B$21+Inputs!$B$5,D12*(1-Inputs!$B$10)*Inputs!$B$19/1000000,D12*Inputs!$B$18/1000000))</f>
        <v>52.578396</v>
      </c>
      <c r="F12" s="13" t="n">
        <f aca="false">IF(OR(A12&lt;=Inputs!$B$21,A12&gt;Inputs!$B$21+Configurations!$D$15),0,Configurations!$D$12+Configurations!$D$13+Configurations!$D$14+Inputs!$B$20*E12)</f>
        <v>8.73667594</v>
      </c>
      <c r="G12" s="13" t="n">
        <f aca="false">E12-F12</f>
        <v>43.84172006</v>
      </c>
      <c r="H12" s="21" t="n">
        <f aca="false">IF(AND(A12&gt;Inputs!$B$21,A12&lt;=Inputs!$B$21+Inputs!$B$12),Capitalization!G$12,0)</f>
        <v>26.7052121890235</v>
      </c>
      <c r="I12" s="13" t="n">
        <f aca="false">G12-H12</f>
        <v>17.1365078709765</v>
      </c>
      <c r="J12" s="22" t="n">
        <f aca="false">IF(A12&lt;=Inputs!$B$21,"",IF(AND(A12&lt;=Inputs!$B$22,Capitalization!G$18&gt;0),Inputs!$B$25,Inputs!$B$26))</f>
        <v>0.975</v>
      </c>
      <c r="K12" s="13" t="n">
        <f aca="false">IF(A12=0,-Capitalization!G$19,IF(A12&lt;=Inputs!$B$21,0,I12*J12-IF(AND(A12=Inputs!$B$22,Capitalization!G$18&gt;0),Inputs!$B$23,0)))</f>
        <v>16.7080951742021</v>
      </c>
      <c r="L12" s="23" t="n">
        <f aca="false">IF(H12&gt;0,G12/H12,"")</f>
        <v>1.64169150762337</v>
      </c>
      <c r="M12" s="13" t="n">
        <f aca="false">IF(A12=0,-Capitalization!G$4,IF(A12&lt;=Inputs!$B$21,0,G12))</f>
        <v>43.84172006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IF(A13=0,"Equity",IF(A13&lt;=Inputs!$B$21,"Construction",IF(A13&lt;=Inputs!$B$21+Inputs!$B$5,"Queue wait",IF(A13&lt;=Inputs!$B$21+Configurations!$D$15,"Grid ops","—"))))</f>
        <v>Grid ops</v>
      </c>
      <c r="C13" s="4" t="n">
        <f aca="false">IF(A13&lt;=Inputs!$B$21,"",A13-Inputs!$B$21-1)</f>
        <v>5</v>
      </c>
      <c r="D13" s="14" t="n">
        <f aca="false">IF(OR(A13&lt;=Inputs!$B$21,A13&gt;Inputs!$B$21+Configurations!$D$15),0,Configurations!$D$4*Configurations!$D$5*8760*(1-Configurations!$D$6)^C13*Configurations!$D$7*(1-Configurations!$D$8))</f>
        <v>730255.5</v>
      </c>
      <c r="E13" s="13" t="n">
        <f aca="false">IF(OR(A13&lt;=Inputs!$B$21,A13&gt;Inputs!$B$21+Configurations!$D$15),0,IF(A13&lt;=Inputs!$B$21+Inputs!$B$5,D13*(1-Inputs!$B$10)*Inputs!$B$19/1000000,D13*Inputs!$B$18/1000000))</f>
        <v>52.578396</v>
      </c>
      <c r="F13" s="13" t="n">
        <f aca="false">IF(OR(A13&lt;=Inputs!$B$21,A13&gt;Inputs!$B$21+Configurations!$D$15),0,Configurations!$D$12+Configurations!$D$13+Configurations!$D$14+Inputs!$B$20*E13)</f>
        <v>8.73667594</v>
      </c>
      <c r="G13" s="13" t="n">
        <f aca="false">E13-F13</f>
        <v>43.84172006</v>
      </c>
      <c r="H13" s="21" t="n">
        <f aca="false">IF(AND(A13&gt;Inputs!$B$21,A13&lt;=Inputs!$B$21+Inputs!$B$12),Capitalization!G$12,0)</f>
        <v>26.7052121890235</v>
      </c>
      <c r="I13" s="13" t="n">
        <f aca="false">G13-H13</f>
        <v>17.1365078709765</v>
      </c>
      <c r="J13" s="22" t="n">
        <f aca="false">IF(A13&lt;=Inputs!$B$21,"",IF(AND(A13&lt;=Inputs!$B$22,Capitalization!G$18&gt;0),Inputs!$B$25,Inputs!$B$26))</f>
        <v>0.975</v>
      </c>
      <c r="K13" s="13" t="n">
        <f aca="false">IF(A13=0,-Capitalization!G$19,IF(A13&lt;=Inputs!$B$21,0,I13*J13-IF(AND(A13=Inputs!$B$22,Capitalization!G$18&gt;0),Inputs!$B$23,0)))</f>
        <v>16.7080951742021</v>
      </c>
      <c r="L13" s="23" t="n">
        <f aca="false">IF(H13&gt;0,G13/H13,"")</f>
        <v>1.64169150762337</v>
      </c>
      <c r="M13" s="13" t="n">
        <f aca="false">IF(A13=0,-Capitalization!G$4,IF(A13&lt;=Inputs!$B$21,0,G13))</f>
        <v>43.84172006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IF(A14=0,"Equity",IF(A14&lt;=Inputs!$B$21,"Construction",IF(A14&lt;=Inputs!$B$21+Inputs!$B$5,"Queue wait",IF(A14&lt;=Inputs!$B$21+Configurations!$D$15,"Grid ops","—"))))</f>
        <v>Grid ops</v>
      </c>
      <c r="C14" s="4" t="n">
        <f aca="false">IF(A14&lt;=Inputs!$B$21,"",A14-Inputs!$B$21-1)</f>
        <v>6</v>
      </c>
      <c r="D14" s="14" t="n">
        <f aca="false">IF(OR(A14&lt;=Inputs!$B$21,A14&gt;Inputs!$B$21+Configurations!$D$15),0,Configurations!$D$4*Configurations!$D$5*8760*(1-Configurations!$D$6)^C14*Configurations!$D$7*(1-Configurations!$D$8))</f>
        <v>730255.5</v>
      </c>
      <c r="E14" s="13" t="n">
        <f aca="false">IF(OR(A14&lt;=Inputs!$B$21,A14&gt;Inputs!$B$21+Configurations!$D$15),0,IF(A14&lt;=Inputs!$B$21+Inputs!$B$5,D14*(1-Inputs!$B$10)*Inputs!$B$19/1000000,D14*Inputs!$B$18/1000000))</f>
        <v>52.578396</v>
      </c>
      <c r="F14" s="13" t="n">
        <f aca="false">IF(OR(A14&lt;=Inputs!$B$21,A14&gt;Inputs!$B$21+Configurations!$D$15),0,Configurations!$D$12+Configurations!$D$13+Configurations!$D$14+Inputs!$B$20*E14)</f>
        <v>8.73667594</v>
      </c>
      <c r="G14" s="13" t="n">
        <f aca="false">E14-F14</f>
        <v>43.84172006</v>
      </c>
      <c r="H14" s="21" t="n">
        <f aca="false">IF(AND(A14&gt;Inputs!$B$21,A14&lt;=Inputs!$B$21+Inputs!$B$12),Capitalization!G$12,0)</f>
        <v>26.7052121890235</v>
      </c>
      <c r="I14" s="13" t="n">
        <f aca="false">G14-H14</f>
        <v>17.1365078709765</v>
      </c>
      <c r="J14" s="22" t="n">
        <f aca="false">IF(A14&lt;=Inputs!$B$21,"",IF(AND(A14&lt;=Inputs!$B$22,Capitalization!G$18&gt;0),Inputs!$B$25,Inputs!$B$26))</f>
        <v>0.975</v>
      </c>
      <c r="K14" s="13" t="n">
        <f aca="false">IF(A14=0,-Capitalization!G$19,IF(A14&lt;=Inputs!$B$21,0,I14*J14-IF(AND(A14=Inputs!$B$22,Capitalization!G$18&gt;0),Inputs!$B$23,0)))</f>
        <v>16.7080951742021</v>
      </c>
      <c r="L14" s="23" t="n">
        <f aca="false">IF(H14&gt;0,G14/H14,"")</f>
        <v>1.64169150762337</v>
      </c>
      <c r="M14" s="13" t="n">
        <f aca="false">IF(A14=0,-Capitalization!G$4,IF(A14&lt;=Inputs!$B$21,0,G14))</f>
        <v>43.84172006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IF(A15=0,"Equity",IF(A15&lt;=Inputs!$B$21,"Construction",IF(A15&lt;=Inputs!$B$21+Inputs!$B$5,"Queue wait",IF(A15&lt;=Inputs!$B$21+Configurations!$D$15,"Grid ops","—"))))</f>
        <v>Grid ops</v>
      </c>
      <c r="C15" s="4" t="n">
        <f aca="false">IF(A15&lt;=Inputs!$B$21,"",A15-Inputs!$B$21-1)</f>
        <v>7</v>
      </c>
      <c r="D15" s="14" t="n">
        <f aca="false">IF(OR(A15&lt;=Inputs!$B$21,A15&gt;Inputs!$B$21+Configurations!$D$15),0,Configurations!$D$4*Configurations!$D$5*8760*(1-Configurations!$D$6)^C15*Configurations!$D$7*(1-Configurations!$D$8))</f>
        <v>730255.5</v>
      </c>
      <c r="E15" s="13" t="n">
        <f aca="false">IF(OR(A15&lt;=Inputs!$B$21,A15&gt;Inputs!$B$21+Configurations!$D$15),0,IF(A15&lt;=Inputs!$B$21+Inputs!$B$5,D15*(1-Inputs!$B$10)*Inputs!$B$19/1000000,D15*Inputs!$B$18/1000000))</f>
        <v>52.578396</v>
      </c>
      <c r="F15" s="13" t="n">
        <f aca="false">IF(OR(A15&lt;=Inputs!$B$21,A15&gt;Inputs!$B$21+Configurations!$D$15),0,Configurations!$D$12+Configurations!$D$13+Configurations!$D$14+Inputs!$B$20*E15)</f>
        <v>8.73667594</v>
      </c>
      <c r="G15" s="13" t="n">
        <f aca="false">E15-F15</f>
        <v>43.84172006</v>
      </c>
      <c r="H15" s="21" t="n">
        <f aca="false">IF(AND(A15&gt;Inputs!$B$21,A15&lt;=Inputs!$B$21+Inputs!$B$12),Capitalization!G$12,0)</f>
        <v>26.7052121890235</v>
      </c>
      <c r="I15" s="13" t="n">
        <f aca="false">G15-H15</f>
        <v>17.1365078709765</v>
      </c>
      <c r="J15" s="22" t="n">
        <f aca="false">IF(A15&lt;=Inputs!$B$21,"",IF(AND(A15&lt;=Inputs!$B$22,Capitalization!G$18&gt;0),Inputs!$B$25,Inputs!$B$26))</f>
        <v>0.975</v>
      </c>
      <c r="K15" s="13" t="n">
        <f aca="false">IF(A15=0,-Capitalization!G$19,IF(A15&lt;=Inputs!$B$21,0,I15*J15-IF(AND(A15=Inputs!$B$22,Capitalization!G$18&gt;0),Inputs!$B$23,0)))</f>
        <v>16.7080951742021</v>
      </c>
      <c r="L15" s="23" t="n">
        <f aca="false">IF(H15&gt;0,G15/H15,"")</f>
        <v>1.64169150762337</v>
      </c>
      <c r="M15" s="13" t="n">
        <f aca="false">IF(A15=0,-Capitalization!G$4,IF(A15&lt;=Inputs!$B$21,0,G15))</f>
        <v>43.84172006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IF(A16=0,"Equity",IF(A16&lt;=Inputs!$B$21,"Construction",IF(A16&lt;=Inputs!$B$21+Inputs!$B$5,"Queue wait",IF(A16&lt;=Inputs!$B$21+Configurations!$D$15,"Grid ops","—"))))</f>
        <v>Grid ops</v>
      </c>
      <c r="C16" s="4" t="n">
        <f aca="false">IF(A16&lt;=Inputs!$B$21,"",A16-Inputs!$B$21-1)</f>
        <v>8</v>
      </c>
      <c r="D16" s="14" t="n">
        <f aca="false">IF(OR(A16&lt;=Inputs!$B$21,A16&gt;Inputs!$B$21+Configurations!$D$15),0,Configurations!$D$4*Configurations!$D$5*8760*(1-Configurations!$D$6)^C16*Configurations!$D$7*(1-Configurations!$D$8))</f>
        <v>730255.5</v>
      </c>
      <c r="E16" s="13" t="n">
        <f aca="false">IF(OR(A16&lt;=Inputs!$B$21,A16&gt;Inputs!$B$21+Configurations!$D$15),0,IF(A16&lt;=Inputs!$B$21+Inputs!$B$5,D16*(1-Inputs!$B$10)*Inputs!$B$19/1000000,D16*Inputs!$B$18/1000000))</f>
        <v>52.578396</v>
      </c>
      <c r="F16" s="13" t="n">
        <f aca="false">IF(OR(A16&lt;=Inputs!$B$21,A16&gt;Inputs!$B$21+Configurations!$D$15),0,Configurations!$D$12+Configurations!$D$13+Configurations!$D$14+Inputs!$B$20*E16)</f>
        <v>8.73667594</v>
      </c>
      <c r="G16" s="13" t="n">
        <f aca="false">E16-F16</f>
        <v>43.84172006</v>
      </c>
      <c r="H16" s="21" t="n">
        <f aca="false">IF(AND(A16&gt;Inputs!$B$21,A16&lt;=Inputs!$B$21+Inputs!$B$12),Capitalization!G$12,0)</f>
        <v>26.7052121890235</v>
      </c>
      <c r="I16" s="13" t="n">
        <f aca="false">G16-H16</f>
        <v>17.1365078709765</v>
      </c>
      <c r="J16" s="22" t="n">
        <f aca="false">IF(A16&lt;=Inputs!$B$21,"",IF(AND(A16&lt;=Inputs!$B$22,Capitalization!G$18&gt;0),Inputs!$B$25,Inputs!$B$26))</f>
        <v>0.975</v>
      </c>
      <c r="K16" s="13" t="n">
        <f aca="false">IF(A16=0,-Capitalization!G$19,IF(A16&lt;=Inputs!$B$21,0,I16*J16-IF(AND(A16=Inputs!$B$22,Capitalization!G$18&gt;0),Inputs!$B$23,0)))</f>
        <v>16.7080951742021</v>
      </c>
      <c r="L16" s="23" t="n">
        <f aca="false">IF(H16&gt;0,G16/H16,"")</f>
        <v>1.64169150762337</v>
      </c>
      <c r="M16" s="13" t="n">
        <f aca="false">IF(A16=0,-Capitalization!G$4,IF(A16&lt;=Inputs!$B$21,0,G16))</f>
        <v>43.84172006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IF(A17=0,"Equity",IF(A17&lt;=Inputs!$B$21,"Construction",IF(A17&lt;=Inputs!$B$21+Inputs!$B$5,"Queue wait",IF(A17&lt;=Inputs!$B$21+Configurations!$D$15,"Grid ops","—"))))</f>
        <v>Grid ops</v>
      </c>
      <c r="C17" s="4" t="n">
        <f aca="false">IF(A17&lt;=Inputs!$B$21,"",A17-Inputs!$B$21-1)</f>
        <v>9</v>
      </c>
      <c r="D17" s="14" t="n">
        <f aca="false">IF(OR(A17&lt;=Inputs!$B$21,A17&gt;Inputs!$B$21+Configurations!$D$15),0,Configurations!$D$4*Configurations!$D$5*8760*(1-Configurations!$D$6)^C17*Configurations!$D$7*(1-Configurations!$D$8))</f>
        <v>730255.5</v>
      </c>
      <c r="E17" s="13" t="n">
        <f aca="false">IF(OR(A17&lt;=Inputs!$B$21,A17&gt;Inputs!$B$21+Configurations!$D$15),0,IF(A17&lt;=Inputs!$B$21+Inputs!$B$5,D17*(1-Inputs!$B$10)*Inputs!$B$19/1000000,D17*Inputs!$B$18/1000000))</f>
        <v>52.578396</v>
      </c>
      <c r="F17" s="13" t="n">
        <f aca="false">IF(OR(A17&lt;=Inputs!$B$21,A17&gt;Inputs!$B$21+Configurations!$D$15),0,Configurations!$D$12+Configurations!$D$13+Configurations!$D$14+Inputs!$B$20*E17)</f>
        <v>8.73667594</v>
      </c>
      <c r="G17" s="13" t="n">
        <f aca="false">E17-F17</f>
        <v>43.84172006</v>
      </c>
      <c r="H17" s="21" t="n">
        <f aca="false">IF(AND(A17&gt;Inputs!$B$21,A17&lt;=Inputs!$B$21+Inputs!$B$12),Capitalization!G$12,0)</f>
        <v>26.7052121890235</v>
      </c>
      <c r="I17" s="13" t="n">
        <f aca="false">G17-H17</f>
        <v>17.1365078709765</v>
      </c>
      <c r="J17" s="22" t="n">
        <f aca="false">IF(A17&lt;=Inputs!$B$21,"",IF(AND(A17&lt;=Inputs!$B$22,Capitalization!G$18&gt;0),Inputs!$B$25,Inputs!$B$26))</f>
        <v>0.975</v>
      </c>
      <c r="K17" s="13" t="n">
        <f aca="false">IF(A17=0,-Capitalization!G$19,IF(A17&lt;=Inputs!$B$21,0,I17*J17-IF(AND(A17=Inputs!$B$22,Capitalization!G$18&gt;0),Inputs!$B$23,0)))</f>
        <v>16.7080951742021</v>
      </c>
      <c r="L17" s="23" t="n">
        <f aca="false">IF(H17&gt;0,G17/H17,"")</f>
        <v>1.64169150762337</v>
      </c>
      <c r="M17" s="13" t="n">
        <f aca="false">IF(A17=0,-Capitalization!G$4,IF(A17&lt;=Inputs!$B$21,0,G17))</f>
        <v>43.84172006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IF(A18=0,"Equity",IF(A18&lt;=Inputs!$B$21,"Construction",IF(A18&lt;=Inputs!$B$21+Inputs!$B$5,"Queue wait",IF(A18&lt;=Inputs!$B$21+Configurations!$D$15,"Grid ops","—"))))</f>
        <v>Grid ops</v>
      </c>
      <c r="C18" s="4" t="n">
        <f aca="false">IF(A18&lt;=Inputs!$B$21,"",A18-Inputs!$B$21-1)</f>
        <v>10</v>
      </c>
      <c r="D18" s="14" t="n">
        <f aca="false">IF(OR(A18&lt;=Inputs!$B$21,A18&gt;Inputs!$B$21+Configurations!$D$15),0,Configurations!$D$4*Configurations!$D$5*8760*(1-Configurations!$D$6)^C18*Configurations!$D$7*(1-Configurations!$D$8))</f>
        <v>730255.5</v>
      </c>
      <c r="E18" s="13" t="n">
        <f aca="false">IF(OR(A18&lt;=Inputs!$B$21,A18&gt;Inputs!$B$21+Configurations!$D$15),0,IF(A18&lt;=Inputs!$B$21+Inputs!$B$5,D18*(1-Inputs!$B$10)*Inputs!$B$19/1000000,D18*Inputs!$B$18/1000000))</f>
        <v>52.578396</v>
      </c>
      <c r="F18" s="13" t="n">
        <f aca="false">IF(OR(A18&lt;=Inputs!$B$21,A18&gt;Inputs!$B$21+Configurations!$D$15),0,Configurations!$D$12+Configurations!$D$13+Configurations!$D$14+Inputs!$B$20*E18)</f>
        <v>8.73667594</v>
      </c>
      <c r="G18" s="13" t="n">
        <f aca="false">E18-F18</f>
        <v>43.84172006</v>
      </c>
      <c r="H18" s="21" t="n">
        <f aca="false">IF(AND(A18&gt;Inputs!$B$21,A18&lt;=Inputs!$B$21+Inputs!$B$12),Capitalization!G$12,0)</f>
        <v>26.7052121890235</v>
      </c>
      <c r="I18" s="13" t="n">
        <f aca="false">G18-H18</f>
        <v>17.1365078709765</v>
      </c>
      <c r="J18" s="22" t="n">
        <f aca="false">IF(A18&lt;=Inputs!$B$21,"",IF(AND(A18&lt;=Inputs!$B$22,Capitalization!G$18&gt;0),Inputs!$B$25,Inputs!$B$26))</f>
        <v>0.975</v>
      </c>
      <c r="K18" s="13" t="n">
        <f aca="false">IF(A18=0,-Capitalization!G$19,IF(A18&lt;=Inputs!$B$21,0,I18*J18-IF(AND(A18=Inputs!$B$22,Capitalization!G$18&gt;0),Inputs!$B$23,0)))</f>
        <v>16.7080951742021</v>
      </c>
      <c r="L18" s="23" t="n">
        <f aca="false">IF(H18&gt;0,G18/H18,"")</f>
        <v>1.64169150762337</v>
      </c>
      <c r="M18" s="13" t="n">
        <f aca="false">IF(A18=0,-Capitalization!G$4,IF(A18&lt;=Inputs!$B$21,0,G18))</f>
        <v>43.84172006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IF(A19=0,"Equity",IF(A19&lt;=Inputs!$B$21,"Construction",IF(A19&lt;=Inputs!$B$21+Inputs!$B$5,"Queue wait",IF(A19&lt;=Inputs!$B$21+Configurations!$D$15,"Grid ops","—"))))</f>
        <v>Grid ops</v>
      </c>
      <c r="C19" s="4" t="n">
        <f aca="false">IF(A19&lt;=Inputs!$B$21,"",A19-Inputs!$B$21-1)</f>
        <v>11</v>
      </c>
      <c r="D19" s="14" t="n">
        <f aca="false">IF(OR(A19&lt;=Inputs!$B$21,A19&gt;Inputs!$B$21+Configurations!$D$15),0,Configurations!$D$4*Configurations!$D$5*8760*(1-Configurations!$D$6)^C19*Configurations!$D$7*(1-Configurations!$D$8))</f>
        <v>730255.5</v>
      </c>
      <c r="E19" s="13" t="n">
        <f aca="false">IF(OR(A19&lt;=Inputs!$B$21,A19&gt;Inputs!$B$21+Configurations!$D$15),0,IF(A19&lt;=Inputs!$B$21+Inputs!$B$5,D19*(1-Inputs!$B$10)*Inputs!$B$19/1000000,D19*Inputs!$B$18/1000000))</f>
        <v>52.578396</v>
      </c>
      <c r="F19" s="13" t="n">
        <f aca="false">IF(OR(A19&lt;=Inputs!$B$21,A19&gt;Inputs!$B$21+Configurations!$D$15),0,Configurations!$D$12+Configurations!$D$13+Configurations!$D$14+Inputs!$B$20*E19)</f>
        <v>8.73667594</v>
      </c>
      <c r="G19" s="13" t="n">
        <f aca="false">E19-F19</f>
        <v>43.84172006</v>
      </c>
      <c r="H19" s="21" t="n">
        <f aca="false">IF(AND(A19&gt;Inputs!$B$21,A19&lt;=Inputs!$B$21+Inputs!$B$12),Capitalization!G$12,0)</f>
        <v>26.7052121890235</v>
      </c>
      <c r="I19" s="13" t="n">
        <f aca="false">G19-H19</f>
        <v>17.1365078709765</v>
      </c>
      <c r="J19" s="22" t="n">
        <f aca="false">IF(A19&lt;=Inputs!$B$21,"",IF(AND(A19&lt;=Inputs!$B$22,Capitalization!G$18&gt;0),Inputs!$B$25,Inputs!$B$26))</f>
        <v>0.975</v>
      </c>
      <c r="K19" s="13" t="n">
        <f aca="false">IF(A19=0,-Capitalization!G$19,IF(A19&lt;=Inputs!$B$21,0,I19*J19-IF(AND(A19=Inputs!$B$22,Capitalization!G$18&gt;0),Inputs!$B$23,0)))</f>
        <v>16.7080951742021</v>
      </c>
      <c r="L19" s="23" t="n">
        <f aca="false">IF(H19&gt;0,G19/H19,"")</f>
        <v>1.64169150762337</v>
      </c>
      <c r="M19" s="13" t="n">
        <f aca="false">IF(A19=0,-Capitalization!G$4,IF(A19&lt;=Inputs!$B$21,0,G19))</f>
        <v>43.84172006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IF(A20=0,"Equity",IF(A20&lt;=Inputs!$B$21,"Construction",IF(A20&lt;=Inputs!$B$21+Inputs!$B$5,"Queue wait",IF(A20&lt;=Inputs!$B$21+Configurations!$D$15,"Grid ops","—"))))</f>
        <v>Grid ops</v>
      </c>
      <c r="C20" s="4" t="n">
        <f aca="false">IF(A20&lt;=Inputs!$B$21,"",A20-Inputs!$B$21-1)</f>
        <v>12</v>
      </c>
      <c r="D20" s="14" t="n">
        <f aca="false">IF(OR(A20&lt;=Inputs!$B$21,A20&gt;Inputs!$B$21+Configurations!$D$15),0,Configurations!$D$4*Configurations!$D$5*8760*(1-Configurations!$D$6)^C20*Configurations!$D$7*(1-Configurations!$D$8))</f>
        <v>730255.5</v>
      </c>
      <c r="E20" s="13" t="n">
        <f aca="false">IF(OR(A20&lt;=Inputs!$B$21,A20&gt;Inputs!$B$21+Configurations!$D$15),0,IF(A20&lt;=Inputs!$B$21+Inputs!$B$5,D20*(1-Inputs!$B$10)*Inputs!$B$19/1000000,D20*Inputs!$B$18/1000000))</f>
        <v>52.578396</v>
      </c>
      <c r="F20" s="13" t="n">
        <f aca="false">IF(OR(A20&lt;=Inputs!$B$21,A20&gt;Inputs!$B$21+Configurations!$D$15),0,Configurations!$D$12+Configurations!$D$13+Configurations!$D$14+Inputs!$B$20*E20)</f>
        <v>8.73667594</v>
      </c>
      <c r="G20" s="13" t="n">
        <f aca="false">E20-F20</f>
        <v>43.84172006</v>
      </c>
      <c r="H20" s="21" t="n">
        <f aca="false">IF(AND(A20&gt;Inputs!$B$21,A20&lt;=Inputs!$B$21+Inputs!$B$12),Capitalization!G$12,0)</f>
        <v>26.7052121890235</v>
      </c>
      <c r="I20" s="13" t="n">
        <f aca="false">G20-H20</f>
        <v>17.1365078709765</v>
      </c>
      <c r="J20" s="22" t="n">
        <f aca="false">IF(A20&lt;=Inputs!$B$21,"",IF(AND(A20&lt;=Inputs!$B$22,Capitalization!G$18&gt;0),Inputs!$B$25,Inputs!$B$26))</f>
        <v>0.975</v>
      </c>
      <c r="K20" s="13" t="n">
        <f aca="false">IF(A20=0,-Capitalization!G$19,IF(A20&lt;=Inputs!$B$21,0,I20*J20-IF(AND(A20=Inputs!$B$22,Capitalization!G$18&gt;0),Inputs!$B$23,0)))</f>
        <v>16.7080951742021</v>
      </c>
      <c r="L20" s="23" t="n">
        <f aca="false">IF(H20&gt;0,G20/H20,"")</f>
        <v>1.64169150762337</v>
      </c>
      <c r="M20" s="13" t="n">
        <f aca="false">IF(A20=0,-Capitalization!G$4,IF(A20&lt;=Inputs!$B$21,0,G20))</f>
        <v>43.84172006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IF(A21=0,"Equity",IF(A21&lt;=Inputs!$B$21,"Construction",IF(A21&lt;=Inputs!$B$21+Inputs!$B$5,"Queue wait",IF(A21&lt;=Inputs!$B$21+Configurations!$D$15,"Grid ops","—"))))</f>
        <v>Grid ops</v>
      </c>
      <c r="C21" s="4" t="n">
        <f aca="false">IF(A21&lt;=Inputs!$B$21,"",A21-Inputs!$B$21-1)</f>
        <v>13</v>
      </c>
      <c r="D21" s="14" t="n">
        <f aca="false">IF(OR(A21&lt;=Inputs!$B$21,A21&gt;Inputs!$B$21+Configurations!$D$15),0,Configurations!$D$4*Configurations!$D$5*8760*(1-Configurations!$D$6)^C21*Configurations!$D$7*(1-Configurations!$D$8))</f>
        <v>730255.5</v>
      </c>
      <c r="E21" s="13" t="n">
        <f aca="false">IF(OR(A21&lt;=Inputs!$B$21,A21&gt;Inputs!$B$21+Configurations!$D$15),0,IF(A21&lt;=Inputs!$B$21+Inputs!$B$5,D21*(1-Inputs!$B$10)*Inputs!$B$19/1000000,D21*Inputs!$B$18/1000000))</f>
        <v>52.578396</v>
      </c>
      <c r="F21" s="13" t="n">
        <f aca="false">IF(OR(A21&lt;=Inputs!$B$21,A21&gt;Inputs!$B$21+Configurations!$D$15),0,Configurations!$D$12+Configurations!$D$13+Configurations!$D$14+Inputs!$B$20*E21)</f>
        <v>8.73667594</v>
      </c>
      <c r="G21" s="13" t="n">
        <f aca="false">E21-F21</f>
        <v>43.84172006</v>
      </c>
      <c r="H21" s="21" t="n">
        <f aca="false">IF(AND(A21&gt;Inputs!$B$21,A21&lt;=Inputs!$B$21+Inputs!$B$12),Capitalization!G$12,0)</f>
        <v>26.7052121890235</v>
      </c>
      <c r="I21" s="13" t="n">
        <f aca="false">G21-H21</f>
        <v>17.1365078709765</v>
      </c>
      <c r="J21" s="22" t="n">
        <f aca="false">IF(A21&lt;=Inputs!$B$21,"",IF(AND(A21&lt;=Inputs!$B$22,Capitalization!G$18&gt;0),Inputs!$B$25,Inputs!$B$26))</f>
        <v>0.975</v>
      </c>
      <c r="K21" s="13" t="n">
        <f aca="false">IF(A21=0,-Capitalization!G$19,IF(A21&lt;=Inputs!$B$21,0,I21*J21-IF(AND(A21=Inputs!$B$22,Capitalization!G$18&gt;0),Inputs!$B$23,0)))</f>
        <v>16.7080951742021</v>
      </c>
      <c r="L21" s="23" t="n">
        <f aca="false">IF(H21&gt;0,G21/H21,"")</f>
        <v>1.64169150762337</v>
      </c>
      <c r="M21" s="13" t="n">
        <f aca="false">IF(A21=0,-Capitalization!G$4,IF(A21&lt;=Inputs!$B$21,0,G21))</f>
        <v>43.84172006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IF(A22=0,"Equity",IF(A22&lt;=Inputs!$B$21,"Construction",IF(A22&lt;=Inputs!$B$21+Inputs!$B$5,"Queue wait",IF(A22&lt;=Inputs!$B$21+Configurations!$D$15,"Grid ops","—"))))</f>
        <v>Grid ops</v>
      </c>
      <c r="C22" s="4" t="n">
        <f aca="false">IF(A22&lt;=Inputs!$B$21,"",A22-Inputs!$B$21-1)</f>
        <v>14</v>
      </c>
      <c r="D22" s="14" t="n">
        <f aca="false">IF(OR(A22&lt;=Inputs!$B$21,A22&gt;Inputs!$B$21+Configurations!$D$15),0,Configurations!$D$4*Configurations!$D$5*8760*(1-Configurations!$D$6)^C22*Configurations!$D$7*(1-Configurations!$D$8))</f>
        <v>730255.5</v>
      </c>
      <c r="E22" s="13" t="n">
        <f aca="false">IF(OR(A22&lt;=Inputs!$B$21,A22&gt;Inputs!$B$21+Configurations!$D$15),0,IF(A22&lt;=Inputs!$B$21+Inputs!$B$5,D22*(1-Inputs!$B$10)*Inputs!$B$19/1000000,D22*Inputs!$B$18/1000000))</f>
        <v>52.578396</v>
      </c>
      <c r="F22" s="13" t="n">
        <f aca="false">IF(OR(A22&lt;=Inputs!$B$21,A22&gt;Inputs!$B$21+Configurations!$D$15),0,Configurations!$D$12+Configurations!$D$13+Configurations!$D$14+Inputs!$B$20*E22)</f>
        <v>8.73667594</v>
      </c>
      <c r="G22" s="13" t="n">
        <f aca="false">E22-F22</f>
        <v>43.84172006</v>
      </c>
      <c r="H22" s="21" t="n">
        <f aca="false">IF(AND(A22&gt;Inputs!$B$21,A22&lt;=Inputs!$B$21+Inputs!$B$12),Capitalization!G$12,0)</f>
        <v>26.7052121890235</v>
      </c>
      <c r="I22" s="13" t="n">
        <f aca="false">G22-H22</f>
        <v>17.1365078709765</v>
      </c>
      <c r="J22" s="22" t="n">
        <f aca="false">IF(A22&lt;=Inputs!$B$21,"",IF(AND(A22&lt;=Inputs!$B$22,Capitalization!G$18&gt;0),Inputs!$B$25,Inputs!$B$26))</f>
        <v>0.975</v>
      </c>
      <c r="K22" s="13" t="n">
        <f aca="false">IF(A22=0,-Capitalization!G$19,IF(A22&lt;=Inputs!$B$21,0,I22*J22-IF(AND(A22=Inputs!$B$22,Capitalization!G$18&gt;0),Inputs!$B$23,0)))</f>
        <v>16.7080951742021</v>
      </c>
      <c r="L22" s="23" t="n">
        <f aca="false">IF(H22&gt;0,G22/H22,"")</f>
        <v>1.64169150762337</v>
      </c>
      <c r="M22" s="13" t="n">
        <f aca="false">IF(A22=0,-Capitalization!G$4,IF(A22&lt;=Inputs!$B$21,0,G22))</f>
        <v>43.84172006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IF(A23=0,"Equity",IF(A23&lt;=Inputs!$B$21,"Construction",IF(A23&lt;=Inputs!$B$21+Inputs!$B$5,"Queue wait",IF(A23&lt;=Inputs!$B$21+Configurations!$D$15,"Grid ops","—"))))</f>
        <v>Grid ops</v>
      </c>
      <c r="C23" s="4" t="n">
        <f aca="false">IF(A23&lt;=Inputs!$B$21,"",A23-Inputs!$B$21-1)</f>
        <v>15</v>
      </c>
      <c r="D23" s="14" t="n">
        <f aca="false">IF(OR(A23&lt;=Inputs!$B$21,A23&gt;Inputs!$B$21+Configurations!$D$15),0,Configurations!$D$4*Configurations!$D$5*8760*(1-Configurations!$D$6)^C23*Configurations!$D$7*(1-Configurations!$D$8))</f>
        <v>730255.5</v>
      </c>
      <c r="E23" s="13" t="n">
        <f aca="false">IF(OR(A23&lt;=Inputs!$B$21,A23&gt;Inputs!$B$21+Configurations!$D$15),0,IF(A23&lt;=Inputs!$B$21+Inputs!$B$5,D23*(1-Inputs!$B$10)*Inputs!$B$19/1000000,D23*Inputs!$B$18/1000000))</f>
        <v>52.578396</v>
      </c>
      <c r="F23" s="13" t="n">
        <f aca="false">IF(OR(A23&lt;=Inputs!$B$21,A23&gt;Inputs!$B$21+Configurations!$D$15),0,Configurations!$D$12+Configurations!$D$13+Configurations!$D$14+Inputs!$B$20*E23)</f>
        <v>8.73667594</v>
      </c>
      <c r="G23" s="13" t="n">
        <f aca="false">E23-F23</f>
        <v>43.84172006</v>
      </c>
      <c r="H23" s="21" t="n">
        <f aca="false">IF(AND(A23&gt;Inputs!$B$21,A23&lt;=Inputs!$B$21+Inputs!$B$12),Capitalization!G$12,0)</f>
        <v>26.7052121890235</v>
      </c>
      <c r="I23" s="13" t="n">
        <f aca="false">G23-H23</f>
        <v>17.1365078709765</v>
      </c>
      <c r="J23" s="22" t="n">
        <f aca="false">IF(A23&lt;=Inputs!$B$21,"",IF(AND(A23&lt;=Inputs!$B$22,Capitalization!G$18&gt;0),Inputs!$B$25,Inputs!$B$26))</f>
        <v>0.975</v>
      </c>
      <c r="K23" s="13" t="n">
        <f aca="false">IF(A23=0,-Capitalization!G$19,IF(A23&lt;=Inputs!$B$21,0,I23*J23-IF(AND(A23=Inputs!$B$22,Capitalization!G$18&gt;0),Inputs!$B$23,0)))</f>
        <v>16.7080951742021</v>
      </c>
      <c r="L23" s="23" t="n">
        <f aca="false">IF(H23&gt;0,G23/H23,"")</f>
        <v>1.64169150762337</v>
      </c>
      <c r="M23" s="13" t="n">
        <f aca="false">IF(A23=0,-Capitalization!G$4,IF(A23&lt;=Inputs!$B$21,0,G23))</f>
        <v>43.84172006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IF(A24=0,"Equity",IF(A24&lt;=Inputs!$B$21,"Construction",IF(A24&lt;=Inputs!$B$21+Inputs!$B$5,"Queue wait",IF(A24&lt;=Inputs!$B$21+Configurations!$D$15,"Grid ops","—"))))</f>
        <v>Grid ops</v>
      </c>
      <c r="C24" s="4" t="n">
        <f aca="false">IF(A24&lt;=Inputs!$B$21,"",A24-Inputs!$B$21-1)</f>
        <v>16</v>
      </c>
      <c r="D24" s="14" t="n">
        <f aca="false">IF(OR(A24&lt;=Inputs!$B$21,A24&gt;Inputs!$B$21+Configurations!$D$15),0,Configurations!$D$4*Configurations!$D$5*8760*(1-Configurations!$D$6)^C24*Configurations!$D$7*(1-Configurations!$D$8))</f>
        <v>730255.5</v>
      </c>
      <c r="E24" s="13" t="n">
        <f aca="false">IF(OR(A24&lt;=Inputs!$B$21,A24&gt;Inputs!$B$21+Configurations!$D$15),0,IF(A24&lt;=Inputs!$B$21+Inputs!$B$5,D24*(1-Inputs!$B$10)*Inputs!$B$19/1000000,D24*Inputs!$B$18/1000000))</f>
        <v>52.578396</v>
      </c>
      <c r="F24" s="13" t="n">
        <f aca="false">IF(OR(A24&lt;=Inputs!$B$21,A24&gt;Inputs!$B$21+Configurations!$D$15),0,Configurations!$D$12+Configurations!$D$13+Configurations!$D$14+Inputs!$B$20*E24)</f>
        <v>8.73667594</v>
      </c>
      <c r="G24" s="13" t="n">
        <f aca="false">E24-F24</f>
        <v>43.84172006</v>
      </c>
      <c r="H24" s="21" t="n">
        <f aca="false">IF(AND(A24&gt;Inputs!$B$21,A24&lt;=Inputs!$B$21+Inputs!$B$12),Capitalization!G$12,0)</f>
        <v>26.7052121890235</v>
      </c>
      <c r="I24" s="13" t="n">
        <f aca="false">G24-H24</f>
        <v>17.1365078709765</v>
      </c>
      <c r="J24" s="22" t="n">
        <f aca="false">IF(A24&lt;=Inputs!$B$21,"",IF(AND(A24&lt;=Inputs!$B$22,Capitalization!G$18&gt;0),Inputs!$B$25,Inputs!$B$26))</f>
        <v>0.975</v>
      </c>
      <c r="K24" s="13" t="n">
        <f aca="false">IF(A24=0,-Capitalization!G$19,IF(A24&lt;=Inputs!$B$21,0,I24*J24-IF(AND(A24=Inputs!$B$22,Capitalization!G$18&gt;0),Inputs!$B$23,0)))</f>
        <v>16.7080951742021</v>
      </c>
      <c r="L24" s="23" t="n">
        <f aca="false">IF(H24&gt;0,G24/H24,"")</f>
        <v>1.64169150762337</v>
      </c>
      <c r="M24" s="13" t="n">
        <f aca="false">IF(A24=0,-Capitalization!G$4,IF(A24&lt;=Inputs!$B$21,0,G24))</f>
        <v>43.84172006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IF(A25=0,"Equity",IF(A25&lt;=Inputs!$B$21,"Construction",IF(A25&lt;=Inputs!$B$21+Inputs!$B$5,"Queue wait",IF(A25&lt;=Inputs!$B$21+Configurations!$D$15,"Grid ops","—"))))</f>
        <v>Grid ops</v>
      </c>
      <c r="C25" s="4" t="n">
        <f aca="false">IF(A25&lt;=Inputs!$B$21,"",A25-Inputs!$B$21-1)</f>
        <v>17</v>
      </c>
      <c r="D25" s="14" t="n">
        <f aca="false">IF(OR(A25&lt;=Inputs!$B$21,A25&gt;Inputs!$B$21+Configurations!$D$15),0,Configurations!$D$4*Configurations!$D$5*8760*(1-Configurations!$D$6)^C25*Configurations!$D$7*(1-Configurations!$D$8))</f>
        <v>730255.5</v>
      </c>
      <c r="E25" s="13" t="n">
        <f aca="false">IF(OR(A25&lt;=Inputs!$B$21,A25&gt;Inputs!$B$21+Configurations!$D$15),0,IF(A25&lt;=Inputs!$B$21+Inputs!$B$5,D25*(1-Inputs!$B$10)*Inputs!$B$19/1000000,D25*Inputs!$B$18/1000000))</f>
        <v>52.578396</v>
      </c>
      <c r="F25" s="13" t="n">
        <f aca="false">IF(OR(A25&lt;=Inputs!$B$21,A25&gt;Inputs!$B$21+Configurations!$D$15),0,Configurations!$D$12+Configurations!$D$13+Configurations!$D$14+Inputs!$B$20*E25)</f>
        <v>8.73667594</v>
      </c>
      <c r="G25" s="13" t="n">
        <f aca="false">E25-F25</f>
        <v>43.84172006</v>
      </c>
      <c r="H25" s="21" t="n">
        <f aca="false">IF(AND(A25&gt;Inputs!$B$21,A25&lt;=Inputs!$B$21+Inputs!$B$12),Capitalization!G$12,0)</f>
        <v>26.7052121890235</v>
      </c>
      <c r="I25" s="13" t="n">
        <f aca="false">G25-H25</f>
        <v>17.1365078709765</v>
      </c>
      <c r="J25" s="22" t="n">
        <f aca="false">IF(A25&lt;=Inputs!$B$21,"",IF(AND(A25&lt;=Inputs!$B$22,Capitalization!G$18&gt;0),Inputs!$B$25,Inputs!$B$26))</f>
        <v>0.975</v>
      </c>
      <c r="K25" s="13" t="n">
        <f aca="false">IF(A25=0,-Capitalization!G$19,IF(A25&lt;=Inputs!$B$21,0,I25*J25-IF(AND(A25=Inputs!$B$22,Capitalization!G$18&gt;0),Inputs!$B$23,0)))</f>
        <v>16.7080951742021</v>
      </c>
      <c r="L25" s="23" t="n">
        <f aca="false">IF(H25&gt;0,G25/H25,"")</f>
        <v>1.64169150762337</v>
      </c>
      <c r="M25" s="13" t="n">
        <f aca="false">IF(A25=0,-Capitalization!G$4,IF(A25&lt;=Inputs!$B$21,0,G25))</f>
        <v>43.84172006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IF(A26=0,"Equity",IF(A26&lt;=Inputs!$B$21,"Construction",IF(A26&lt;=Inputs!$B$21+Inputs!$B$5,"Queue wait",IF(A26&lt;=Inputs!$B$21+Configurations!$D$15,"Grid ops","—"))))</f>
        <v>Grid ops</v>
      </c>
      <c r="C26" s="4" t="n">
        <f aca="false">IF(A26&lt;=Inputs!$B$21,"",A26-Inputs!$B$21-1)</f>
        <v>18</v>
      </c>
      <c r="D26" s="14" t="n">
        <f aca="false">IF(OR(A26&lt;=Inputs!$B$21,A26&gt;Inputs!$B$21+Configurations!$D$15),0,Configurations!$D$4*Configurations!$D$5*8760*(1-Configurations!$D$6)^C26*Configurations!$D$7*(1-Configurations!$D$8))</f>
        <v>730255.5</v>
      </c>
      <c r="E26" s="13" t="n">
        <f aca="false">IF(OR(A26&lt;=Inputs!$B$21,A26&gt;Inputs!$B$21+Configurations!$D$15),0,IF(A26&lt;=Inputs!$B$21+Inputs!$B$5,D26*(1-Inputs!$B$10)*Inputs!$B$19/1000000,D26*Inputs!$B$18/1000000))</f>
        <v>52.578396</v>
      </c>
      <c r="F26" s="13" t="n">
        <f aca="false">IF(OR(A26&lt;=Inputs!$B$21,A26&gt;Inputs!$B$21+Configurations!$D$15),0,Configurations!$D$12+Configurations!$D$13+Configurations!$D$14+Inputs!$B$20*E26)</f>
        <v>8.73667594</v>
      </c>
      <c r="G26" s="13" t="n">
        <f aca="false">E26-F26</f>
        <v>43.84172006</v>
      </c>
      <c r="H26" s="21" t="n">
        <f aca="false">IF(AND(A26&gt;Inputs!$B$21,A26&lt;=Inputs!$B$21+Inputs!$B$12),Capitalization!G$12,0)</f>
        <v>26.7052121890235</v>
      </c>
      <c r="I26" s="13" t="n">
        <f aca="false">G26-H26</f>
        <v>17.1365078709765</v>
      </c>
      <c r="J26" s="22" t="n">
        <f aca="false">IF(A26&lt;=Inputs!$B$21,"",IF(AND(A26&lt;=Inputs!$B$22,Capitalization!G$18&gt;0),Inputs!$B$25,Inputs!$B$26))</f>
        <v>0.975</v>
      </c>
      <c r="K26" s="13" t="n">
        <f aca="false">IF(A26=0,-Capitalization!G$19,IF(A26&lt;=Inputs!$B$21,0,I26*J26-IF(AND(A26=Inputs!$B$22,Capitalization!G$18&gt;0),Inputs!$B$23,0)))</f>
        <v>16.7080951742021</v>
      </c>
      <c r="L26" s="23" t="n">
        <f aca="false">IF(H26&gt;0,G26/H26,"")</f>
        <v>1.64169150762337</v>
      </c>
      <c r="M26" s="13" t="n">
        <f aca="false">IF(A26=0,-Capitalization!G$4,IF(A26&lt;=Inputs!$B$21,0,G26))</f>
        <v>43.84172006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IF(A27=0,"Equity",IF(A27&lt;=Inputs!$B$21,"Construction",IF(A27&lt;=Inputs!$B$21+Inputs!$B$5,"Queue wait",IF(A27&lt;=Inputs!$B$21+Configurations!$D$15,"Grid ops","—"))))</f>
        <v>Grid ops</v>
      </c>
      <c r="C27" s="4" t="n">
        <f aca="false">IF(A27&lt;=Inputs!$B$21,"",A27-Inputs!$B$21-1)</f>
        <v>19</v>
      </c>
      <c r="D27" s="14" t="n">
        <f aca="false">IF(OR(A27&lt;=Inputs!$B$21,A27&gt;Inputs!$B$21+Configurations!$D$15),0,Configurations!$D$4*Configurations!$D$5*8760*(1-Configurations!$D$6)^C27*Configurations!$D$7*(1-Configurations!$D$8))</f>
        <v>730255.5</v>
      </c>
      <c r="E27" s="13" t="n">
        <f aca="false">IF(OR(A27&lt;=Inputs!$B$21,A27&gt;Inputs!$B$21+Configurations!$D$15),0,IF(A27&lt;=Inputs!$B$21+Inputs!$B$5,D27*(1-Inputs!$B$10)*Inputs!$B$19/1000000,D27*Inputs!$B$18/1000000))</f>
        <v>52.578396</v>
      </c>
      <c r="F27" s="13" t="n">
        <f aca="false">IF(OR(A27&lt;=Inputs!$B$21,A27&gt;Inputs!$B$21+Configurations!$D$15),0,Configurations!$D$12+Configurations!$D$13+Configurations!$D$14+Inputs!$B$20*E27)</f>
        <v>8.73667594</v>
      </c>
      <c r="G27" s="13" t="n">
        <f aca="false">E27-F27</f>
        <v>43.84172006</v>
      </c>
      <c r="H27" s="21" t="n">
        <f aca="false">IF(AND(A27&gt;Inputs!$B$21,A27&lt;=Inputs!$B$21+Inputs!$B$12),Capitalization!G$12,0)</f>
        <v>26.7052121890235</v>
      </c>
      <c r="I27" s="13" t="n">
        <f aca="false">G27-H27</f>
        <v>17.1365078709765</v>
      </c>
      <c r="J27" s="22" t="n">
        <f aca="false">IF(A27&lt;=Inputs!$B$21,"",IF(AND(A27&lt;=Inputs!$B$22,Capitalization!G$18&gt;0),Inputs!$B$25,Inputs!$B$26))</f>
        <v>0.975</v>
      </c>
      <c r="K27" s="13" t="n">
        <f aca="false">IF(A27=0,-Capitalization!G$19,IF(A27&lt;=Inputs!$B$21,0,I27*J27-IF(AND(A27=Inputs!$B$22,Capitalization!G$18&gt;0),Inputs!$B$23,0)))</f>
        <v>16.7080951742021</v>
      </c>
      <c r="L27" s="23" t="n">
        <f aca="false">IF(H27&gt;0,G27/H27,"")</f>
        <v>1.64169150762337</v>
      </c>
      <c r="M27" s="13" t="n">
        <f aca="false">IF(A27=0,-Capitalization!G$4,IF(A27&lt;=Inputs!$B$21,0,G27))</f>
        <v>43.84172006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IF(A28=0,"Equity",IF(A28&lt;=Inputs!$B$21,"Construction",IF(A28&lt;=Inputs!$B$21+Inputs!$B$5,"Queue wait",IF(A28&lt;=Inputs!$B$21+Configurations!$D$15,"Grid ops","—"))))</f>
        <v>Grid ops</v>
      </c>
      <c r="C28" s="4" t="n">
        <f aca="false">IF(A28&lt;=Inputs!$B$21,"",A28-Inputs!$B$21-1)</f>
        <v>20</v>
      </c>
      <c r="D28" s="14" t="n">
        <f aca="false">IF(OR(A28&lt;=Inputs!$B$21,A28&gt;Inputs!$B$21+Configurations!$D$15),0,Configurations!$D$4*Configurations!$D$5*8760*(1-Configurations!$D$6)^C28*Configurations!$D$7*(1-Configurations!$D$8))</f>
        <v>730255.5</v>
      </c>
      <c r="E28" s="13" t="n">
        <f aca="false">IF(OR(A28&lt;=Inputs!$B$21,A28&gt;Inputs!$B$21+Configurations!$D$15),0,IF(A28&lt;=Inputs!$B$21+Inputs!$B$5,D28*(1-Inputs!$B$10)*Inputs!$B$19/1000000,D28*Inputs!$B$18/1000000))</f>
        <v>52.578396</v>
      </c>
      <c r="F28" s="13" t="n">
        <f aca="false">IF(OR(A28&lt;=Inputs!$B$21,A28&gt;Inputs!$B$21+Configurations!$D$15),0,Configurations!$D$12+Configurations!$D$13+Configurations!$D$14+Inputs!$B$20*E28)</f>
        <v>8.73667594</v>
      </c>
      <c r="G28" s="13" t="n">
        <f aca="false">E28-F28</f>
        <v>43.84172006</v>
      </c>
      <c r="H28" s="21" t="n">
        <f aca="false">IF(AND(A28&gt;Inputs!$B$21,A28&lt;=Inputs!$B$21+Inputs!$B$12),Capitalization!G$12,0)</f>
        <v>0</v>
      </c>
      <c r="I28" s="13" t="n">
        <f aca="false">G28-H28</f>
        <v>43.84172006</v>
      </c>
      <c r="J28" s="22" t="n">
        <f aca="false">IF(A28&lt;=Inputs!$B$21,"",IF(AND(A28&lt;=Inputs!$B$22,Capitalization!G$18&gt;0),Inputs!$B$25,Inputs!$B$26))</f>
        <v>0.975</v>
      </c>
      <c r="K28" s="13" t="n">
        <f aca="false">IF(A28=0,-Capitalization!G$19,IF(A28&lt;=Inputs!$B$21,0,I28*J28-IF(AND(A28=Inputs!$B$22,Capitalization!G$18&gt;0),Inputs!$B$23,0)))</f>
        <v>42.7456770585</v>
      </c>
      <c r="L28" s="23" t="str">
        <f aca="false">IF(H28&gt;0,G28/H28,"")</f>
        <v/>
      </c>
      <c r="M28" s="13" t="n">
        <f aca="false">IF(A28=0,-Capitalization!G$4,IF(A28&lt;=Inputs!$B$21,0,G28))</f>
        <v>43.84172006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IF(A29=0,"Equity",IF(A29&lt;=Inputs!$B$21,"Construction",IF(A29&lt;=Inputs!$B$21+Inputs!$B$5,"Queue wait",IF(A29&lt;=Inputs!$B$21+Configurations!$D$15,"Grid ops","—"))))</f>
        <v>Grid ops</v>
      </c>
      <c r="C29" s="4" t="n">
        <f aca="false">IF(A29&lt;=Inputs!$B$21,"",A29-Inputs!$B$21-1)</f>
        <v>21</v>
      </c>
      <c r="D29" s="14" t="n">
        <f aca="false">IF(OR(A29&lt;=Inputs!$B$21,A29&gt;Inputs!$B$21+Configurations!$D$15),0,Configurations!$D$4*Configurations!$D$5*8760*(1-Configurations!$D$6)^C29*Configurations!$D$7*(1-Configurations!$D$8))</f>
        <v>730255.5</v>
      </c>
      <c r="E29" s="13" t="n">
        <f aca="false">IF(OR(A29&lt;=Inputs!$B$21,A29&gt;Inputs!$B$21+Configurations!$D$15),0,IF(A29&lt;=Inputs!$B$21+Inputs!$B$5,D29*(1-Inputs!$B$10)*Inputs!$B$19/1000000,D29*Inputs!$B$18/1000000))</f>
        <v>52.578396</v>
      </c>
      <c r="F29" s="13" t="n">
        <f aca="false">IF(OR(A29&lt;=Inputs!$B$21,A29&gt;Inputs!$B$21+Configurations!$D$15),0,Configurations!$D$12+Configurations!$D$13+Configurations!$D$14+Inputs!$B$20*E29)</f>
        <v>8.73667594</v>
      </c>
      <c r="G29" s="13" t="n">
        <f aca="false">E29-F29</f>
        <v>43.84172006</v>
      </c>
      <c r="H29" s="21" t="n">
        <f aca="false">IF(AND(A29&gt;Inputs!$B$21,A29&lt;=Inputs!$B$21+Inputs!$B$12),Capitalization!G$12,0)</f>
        <v>0</v>
      </c>
      <c r="I29" s="13" t="n">
        <f aca="false">G29-H29</f>
        <v>43.84172006</v>
      </c>
      <c r="J29" s="22" t="n">
        <f aca="false">IF(A29&lt;=Inputs!$B$21,"",IF(AND(A29&lt;=Inputs!$B$22,Capitalization!G$18&gt;0),Inputs!$B$25,Inputs!$B$26))</f>
        <v>0.975</v>
      </c>
      <c r="K29" s="13" t="n">
        <f aca="false">IF(A29=0,-Capitalization!G$19,IF(A29&lt;=Inputs!$B$21,0,I29*J29-IF(AND(A29=Inputs!$B$22,Capitalization!G$18&gt;0),Inputs!$B$23,0)))</f>
        <v>42.7456770585</v>
      </c>
      <c r="L29" s="23" t="str">
        <f aca="false">IF(H29&gt;0,G29/H29,"")</f>
        <v/>
      </c>
      <c r="M29" s="13" t="n">
        <f aca="false">IF(A29=0,-Capitalization!G$4,IF(A29&lt;=Inputs!$B$21,0,G29))</f>
        <v>43.84172006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IF(A30=0,"Equity",IF(A30&lt;=Inputs!$B$21,"Construction",IF(A30&lt;=Inputs!$B$21+Inputs!$B$5,"Queue wait",IF(A30&lt;=Inputs!$B$21+Configurations!$D$15,"Grid ops","—"))))</f>
        <v>Grid ops</v>
      </c>
      <c r="C30" s="4" t="n">
        <f aca="false">IF(A30&lt;=Inputs!$B$21,"",A30-Inputs!$B$21-1)</f>
        <v>22</v>
      </c>
      <c r="D30" s="14" t="n">
        <f aca="false">IF(OR(A30&lt;=Inputs!$B$21,A30&gt;Inputs!$B$21+Configurations!$D$15),0,Configurations!$D$4*Configurations!$D$5*8760*(1-Configurations!$D$6)^C30*Configurations!$D$7*(1-Configurations!$D$8))</f>
        <v>730255.5</v>
      </c>
      <c r="E30" s="13" t="n">
        <f aca="false">IF(OR(A30&lt;=Inputs!$B$21,A30&gt;Inputs!$B$21+Configurations!$D$15),0,IF(A30&lt;=Inputs!$B$21+Inputs!$B$5,D30*(1-Inputs!$B$10)*Inputs!$B$19/1000000,D30*Inputs!$B$18/1000000))</f>
        <v>52.578396</v>
      </c>
      <c r="F30" s="13" t="n">
        <f aca="false">IF(OR(A30&lt;=Inputs!$B$21,A30&gt;Inputs!$B$21+Configurations!$D$15),0,Configurations!$D$12+Configurations!$D$13+Configurations!$D$14+Inputs!$B$20*E30)</f>
        <v>8.73667594</v>
      </c>
      <c r="G30" s="13" t="n">
        <f aca="false">E30-F30</f>
        <v>43.84172006</v>
      </c>
      <c r="H30" s="21" t="n">
        <f aca="false">IF(AND(A30&gt;Inputs!$B$21,A30&lt;=Inputs!$B$21+Inputs!$B$12),Capitalization!G$12,0)</f>
        <v>0</v>
      </c>
      <c r="I30" s="13" t="n">
        <f aca="false">G30-H30</f>
        <v>43.84172006</v>
      </c>
      <c r="J30" s="22" t="n">
        <f aca="false">IF(A30&lt;=Inputs!$B$21,"",IF(AND(A30&lt;=Inputs!$B$22,Capitalization!G$18&gt;0),Inputs!$B$25,Inputs!$B$26))</f>
        <v>0.975</v>
      </c>
      <c r="K30" s="13" t="n">
        <f aca="false">IF(A30=0,-Capitalization!G$19,IF(A30&lt;=Inputs!$B$21,0,I30*J30-IF(AND(A30=Inputs!$B$22,Capitalization!G$18&gt;0),Inputs!$B$23,0)))</f>
        <v>42.7456770585</v>
      </c>
      <c r="L30" s="23" t="str">
        <f aca="false">IF(H30&gt;0,G30/H30,"")</f>
        <v/>
      </c>
      <c r="M30" s="13" t="n">
        <f aca="false">IF(A30=0,-Capitalization!G$4,IF(A30&lt;=Inputs!$B$21,0,G30))</f>
        <v>43.84172006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IF(A31=0,"Equity",IF(A31&lt;=Inputs!$B$21,"Construction",IF(A31&lt;=Inputs!$B$21+Inputs!$B$5,"Queue wait",IF(A31&lt;=Inputs!$B$21+Configurations!$D$15,"Grid ops","—"))))</f>
        <v>Grid ops</v>
      </c>
      <c r="C31" s="4" t="n">
        <f aca="false">IF(A31&lt;=Inputs!$B$21,"",A31-Inputs!$B$21-1)</f>
        <v>23</v>
      </c>
      <c r="D31" s="14" t="n">
        <f aca="false">IF(OR(A31&lt;=Inputs!$B$21,A31&gt;Inputs!$B$21+Configurations!$D$15),0,Configurations!$D$4*Configurations!$D$5*8760*(1-Configurations!$D$6)^C31*Configurations!$D$7*(1-Configurations!$D$8))</f>
        <v>730255.5</v>
      </c>
      <c r="E31" s="13" t="n">
        <f aca="false">IF(OR(A31&lt;=Inputs!$B$21,A31&gt;Inputs!$B$21+Configurations!$D$15),0,IF(A31&lt;=Inputs!$B$21+Inputs!$B$5,D31*(1-Inputs!$B$10)*Inputs!$B$19/1000000,D31*Inputs!$B$18/1000000))</f>
        <v>52.578396</v>
      </c>
      <c r="F31" s="13" t="n">
        <f aca="false">IF(OR(A31&lt;=Inputs!$B$21,A31&gt;Inputs!$B$21+Configurations!$D$15),0,Configurations!$D$12+Configurations!$D$13+Configurations!$D$14+Inputs!$B$20*E31)</f>
        <v>8.73667594</v>
      </c>
      <c r="G31" s="13" t="n">
        <f aca="false">E31-F31</f>
        <v>43.84172006</v>
      </c>
      <c r="H31" s="21" t="n">
        <f aca="false">IF(AND(A31&gt;Inputs!$B$21,A31&lt;=Inputs!$B$21+Inputs!$B$12),Capitalization!G$12,0)</f>
        <v>0</v>
      </c>
      <c r="I31" s="13" t="n">
        <f aca="false">G31-H31</f>
        <v>43.84172006</v>
      </c>
      <c r="J31" s="22" t="n">
        <f aca="false">IF(A31&lt;=Inputs!$B$21,"",IF(AND(A31&lt;=Inputs!$B$22,Capitalization!G$18&gt;0),Inputs!$B$25,Inputs!$B$26))</f>
        <v>0.975</v>
      </c>
      <c r="K31" s="13" t="n">
        <f aca="false">IF(A31=0,-Capitalization!G$19,IF(A31&lt;=Inputs!$B$21,0,I31*J31-IF(AND(A31=Inputs!$B$22,Capitalization!G$18&gt;0),Inputs!$B$23,0)))</f>
        <v>42.7456770585</v>
      </c>
      <c r="L31" s="23" t="str">
        <f aca="false">IF(H31&gt;0,G31/H31,"")</f>
        <v/>
      </c>
      <c r="M31" s="13" t="n">
        <f aca="false">IF(A31=0,-Capitalization!G$4,IF(A31&lt;=Inputs!$B$21,0,G31))</f>
        <v>43.84172006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IF(A32=0,"Equity",IF(A32&lt;=Inputs!$B$21,"Construction",IF(A32&lt;=Inputs!$B$21+Inputs!$B$5,"Queue wait",IF(A32&lt;=Inputs!$B$21+Configurations!$D$15,"Grid ops","—"))))</f>
        <v>Grid ops</v>
      </c>
      <c r="C32" s="4" t="n">
        <f aca="false">IF(A32&lt;=Inputs!$B$21,"",A32-Inputs!$B$21-1)</f>
        <v>24</v>
      </c>
      <c r="D32" s="14" t="n">
        <f aca="false">IF(OR(A32&lt;=Inputs!$B$21,A32&gt;Inputs!$B$21+Configurations!$D$15),0,Configurations!$D$4*Configurations!$D$5*8760*(1-Configurations!$D$6)^C32*Configurations!$D$7*(1-Configurations!$D$8))</f>
        <v>730255.5</v>
      </c>
      <c r="E32" s="13" t="n">
        <f aca="false">IF(OR(A32&lt;=Inputs!$B$21,A32&gt;Inputs!$B$21+Configurations!$D$15),0,IF(A32&lt;=Inputs!$B$21+Inputs!$B$5,D32*(1-Inputs!$B$10)*Inputs!$B$19/1000000,D32*Inputs!$B$18/1000000))</f>
        <v>52.578396</v>
      </c>
      <c r="F32" s="13" t="n">
        <f aca="false">IF(OR(A32&lt;=Inputs!$B$21,A32&gt;Inputs!$B$21+Configurations!$D$15),0,Configurations!$D$12+Configurations!$D$13+Configurations!$D$14+Inputs!$B$20*E32)</f>
        <v>8.73667594</v>
      </c>
      <c r="G32" s="13" t="n">
        <f aca="false">E32-F32</f>
        <v>43.84172006</v>
      </c>
      <c r="H32" s="21" t="n">
        <f aca="false">IF(AND(A32&gt;Inputs!$B$21,A32&lt;=Inputs!$B$21+Inputs!$B$12),Capitalization!G$12,0)</f>
        <v>0</v>
      </c>
      <c r="I32" s="13" t="n">
        <f aca="false">G32-H32</f>
        <v>43.84172006</v>
      </c>
      <c r="J32" s="22" t="n">
        <f aca="false">IF(A32&lt;=Inputs!$B$21,"",IF(AND(A32&lt;=Inputs!$B$22,Capitalization!G$18&gt;0),Inputs!$B$25,Inputs!$B$26))</f>
        <v>0.975</v>
      </c>
      <c r="K32" s="13" t="n">
        <f aca="false">IF(A32=0,-Capitalization!G$19,IF(A32&lt;=Inputs!$B$21,0,I32*J32-IF(AND(A32=Inputs!$B$22,Capitalization!G$18&gt;0),Inputs!$B$23,0)))</f>
        <v>42.7456770585</v>
      </c>
      <c r="L32" s="23" t="str">
        <f aca="false">IF(H32&gt;0,G32/H32,"")</f>
        <v/>
      </c>
      <c r="M32" s="13" t="n">
        <f aca="false">IF(A32=0,-Capitalization!G$4,IF(A32&lt;=Inputs!$B$21,0,G32))</f>
        <v>43.84172006</v>
      </c>
    </row>
    <row r="33" customFormat="false" ht="15" hidden="false" customHeight="false" outlineLevel="0" collapsed="false">
      <c r="A33" s="4" t="n">
        <v>28</v>
      </c>
      <c r="B33" s="4" t="str">
        <f aca="false">IF(A33=0,"Equity",IF(A33&lt;=Inputs!$B$21,"Construction",IF(A33&lt;=Inputs!$B$21+Inputs!$B$5,"Queue wait",IF(A33&lt;=Inputs!$B$21+Configurations!$D$15,"Grid ops","—"))))</f>
        <v>Grid ops</v>
      </c>
      <c r="C33" s="4" t="n">
        <f aca="false">IF(A33&lt;=Inputs!$B$21,"",A33-Inputs!$B$21-1)</f>
        <v>25</v>
      </c>
      <c r="D33" s="14" t="n">
        <f aca="false">IF(OR(A33&lt;=Inputs!$B$21,A33&gt;Inputs!$B$21+Configurations!$D$15),0,Configurations!$D$4*Configurations!$D$5*8760*(1-Configurations!$D$6)^C33*Configurations!$D$7*(1-Configurations!$D$8))</f>
        <v>730255.5</v>
      </c>
      <c r="E33" s="13" t="n">
        <f aca="false">IF(OR(A33&lt;=Inputs!$B$21,A33&gt;Inputs!$B$21+Configurations!$D$15),0,IF(A33&lt;=Inputs!$B$21+Inputs!$B$5,D33*(1-Inputs!$B$10)*Inputs!$B$19/1000000,D33*Inputs!$B$18/1000000))</f>
        <v>52.578396</v>
      </c>
      <c r="F33" s="13" t="n">
        <f aca="false">IF(OR(A33&lt;=Inputs!$B$21,A33&gt;Inputs!$B$21+Configurations!$D$15),0,Configurations!$D$12+Configurations!$D$13+Configurations!$D$14+Inputs!$B$20*E33)</f>
        <v>8.73667594</v>
      </c>
      <c r="G33" s="13" t="n">
        <f aca="false">E33-F33</f>
        <v>43.84172006</v>
      </c>
      <c r="H33" s="21" t="n">
        <f aca="false">IF(AND(A33&gt;Inputs!$B$21,A33&lt;=Inputs!$B$21+Inputs!$B$12),Capitalization!G$12,0)</f>
        <v>0</v>
      </c>
      <c r="I33" s="13" t="n">
        <f aca="false">G33-H33</f>
        <v>43.84172006</v>
      </c>
      <c r="J33" s="22" t="n">
        <f aca="false">IF(A33&lt;=Inputs!$B$21,"",IF(AND(A33&lt;=Inputs!$B$22,Capitalization!G$18&gt;0),Inputs!$B$25,Inputs!$B$26))</f>
        <v>0.975</v>
      </c>
      <c r="K33" s="13" t="n">
        <f aca="false">IF(A33=0,-Capitalization!G$19,IF(A33&lt;=Inputs!$B$21,0,I33*J33-IF(AND(A33=Inputs!$B$22,Capitalization!G$18&gt;0),Inputs!$B$23,0)))</f>
        <v>42.7456770585</v>
      </c>
      <c r="L33" s="23" t="str">
        <f aca="false">IF(H33&gt;0,G33/H33,"")</f>
        <v/>
      </c>
      <c r="M33" s="13" t="n">
        <f aca="false">IF(A33=0,-Capitalization!G$4,IF(A33&lt;=Inputs!$B$21,0,G33))</f>
        <v>43.84172006</v>
      </c>
    </row>
    <row r="34" customFormat="false" ht="15" hidden="false" customHeight="false" outlineLevel="0" collapsed="false">
      <c r="A34" s="4" t="n">
        <v>29</v>
      </c>
      <c r="B34" s="4" t="str">
        <f aca="false">IF(A34=0,"Equity",IF(A34&lt;=Inputs!$B$21,"Construction",IF(A34&lt;=Inputs!$B$21+Inputs!$B$5,"Queue wait",IF(A34&lt;=Inputs!$B$21+Configurations!$D$15,"Grid ops","—"))))</f>
        <v>Grid ops</v>
      </c>
      <c r="C34" s="4" t="n">
        <f aca="false">IF(A34&lt;=Inputs!$B$21,"",A34-Inputs!$B$21-1)</f>
        <v>26</v>
      </c>
      <c r="D34" s="14" t="n">
        <f aca="false">IF(OR(A34&lt;=Inputs!$B$21,A34&gt;Inputs!$B$21+Configurations!$D$15),0,Configurations!$D$4*Configurations!$D$5*8760*(1-Configurations!$D$6)^C34*Configurations!$D$7*(1-Configurations!$D$8))</f>
        <v>730255.5</v>
      </c>
      <c r="E34" s="13" t="n">
        <f aca="false">IF(OR(A34&lt;=Inputs!$B$21,A34&gt;Inputs!$B$21+Configurations!$D$15),0,IF(A34&lt;=Inputs!$B$21+Inputs!$B$5,D34*(1-Inputs!$B$10)*Inputs!$B$19/1000000,D34*Inputs!$B$18/1000000))</f>
        <v>52.578396</v>
      </c>
      <c r="F34" s="13" t="n">
        <f aca="false">IF(OR(A34&lt;=Inputs!$B$21,A34&gt;Inputs!$B$21+Configurations!$D$15),0,Configurations!$D$12+Configurations!$D$13+Configurations!$D$14+Inputs!$B$20*E34)</f>
        <v>8.73667594</v>
      </c>
      <c r="G34" s="13" t="n">
        <f aca="false">E34-F34</f>
        <v>43.84172006</v>
      </c>
      <c r="H34" s="21" t="n">
        <f aca="false">IF(AND(A34&gt;Inputs!$B$21,A34&lt;=Inputs!$B$21+Inputs!$B$12),Capitalization!G$12,0)</f>
        <v>0</v>
      </c>
      <c r="I34" s="13" t="n">
        <f aca="false">G34-H34</f>
        <v>43.84172006</v>
      </c>
      <c r="J34" s="22" t="n">
        <f aca="false">IF(A34&lt;=Inputs!$B$21,"",IF(AND(A34&lt;=Inputs!$B$22,Capitalization!G$18&gt;0),Inputs!$B$25,Inputs!$B$26))</f>
        <v>0.975</v>
      </c>
      <c r="K34" s="13" t="n">
        <f aca="false">IF(A34=0,-Capitalization!G$19,IF(A34&lt;=Inputs!$B$21,0,I34*J34-IF(AND(A34=Inputs!$B$22,Capitalization!G$18&gt;0),Inputs!$B$23,0)))</f>
        <v>42.7456770585</v>
      </c>
      <c r="L34" s="23" t="str">
        <f aca="false">IF(H34&gt;0,G34/H34,"")</f>
        <v/>
      </c>
      <c r="M34" s="13" t="n">
        <f aca="false">IF(A34=0,-Capitalization!G$4,IF(A34&lt;=Inputs!$B$21,0,G34))</f>
        <v>43.84172006</v>
      </c>
    </row>
    <row r="35" customFormat="false" ht="15" hidden="false" customHeight="false" outlineLevel="0" collapsed="false">
      <c r="A35" s="4" t="n">
        <v>30</v>
      </c>
      <c r="B35" s="4" t="str">
        <f aca="false">IF(A35=0,"Equity",IF(A35&lt;=Inputs!$B$21,"Construction",IF(A35&lt;=Inputs!$B$21+Inputs!$B$5,"Queue wait",IF(A35&lt;=Inputs!$B$21+Configurations!$D$15,"Grid ops","—"))))</f>
        <v>Grid ops</v>
      </c>
      <c r="C35" s="4" t="n">
        <f aca="false">IF(A35&lt;=Inputs!$B$21,"",A35-Inputs!$B$21-1)</f>
        <v>27</v>
      </c>
      <c r="D35" s="14" t="n">
        <f aca="false">IF(OR(A35&lt;=Inputs!$B$21,A35&gt;Inputs!$B$21+Configurations!$D$15),0,Configurations!$D$4*Configurations!$D$5*8760*(1-Configurations!$D$6)^C35*Configurations!$D$7*(1-Configurations!$D$8))</f>
        <v>730255.5</v>
      </c>
      <c r="E35" s="13" t="n">
        <f aca="false">IF(OR(A35&lt;=Inputs!$B$21,A35&gt;Inputs!$B$21+Configurations!$D$15),0,IF(A35&lt;=Inputs!$B$21+Inputs!$B$5,D35*(1-Inputs!$B$10)*Inputs!$B$19/1000000,D35*Inputs!$B$18/1000000))</f>
        <v>52.578396</v>
      </c>
      <c r="F35" s="13" t="n">
        <f aca="false">IF(OR(A35&lt;=Inputs!$B$21,A35&gt;Inputs!$B$21+Configurations!$D$15),0,Configurations!$D$12+Configurations!$D$13+Configurations!$D$14+Inputs!$B$20*E35)</f>
        <v>8.73667594</v>
      </c>
      <c r="G35" s="13" t="n">
        <f aca="false">E35-F35</f>
        <v>43.84172006</v>
      </c>
      <c r="H35" s="21" t="n">
        <f aca="false">IF(AND(A35&gt;Inputs!$B$21,A35&lt;=Inputs!$B$21+Inputs!$B$12),Capitalization!G$12,0)</f>
        <v>0</v>
      </c>
      <c r="I35" s="13" t="n">
        <f aca="false">G35-H35</f>
        <v>43.84172006</v>
      </c>
      <c r="J35" s="22" t="n">
        <f aca="false">IF(A35&lt;=Inputs!$B$21,"",IF(AND(A35&lt;=Inputs!$B$22,Capitalization!G$18&gt;0),Inputs!$B$25,Inputs!$B$26))</f>
        <v>0.975</v>
      </c>
      <c r="K35" s="13" t="n">
        <f aca="false">IF(A35=0,-Capitalization!G$19,IF(A35&lt;=Inputs!$B$21,0,I35*J35-IF(AND(A35=Inputs!$B$22,Capitalization!G$18&gt;0),Inputs!$B$23,0)))</f>
        <v>42.7456770585</v>
      </c>
      <c r="L35" s="23" t="str">
        <f aca="false">IF(H35&gt;0,G35/H35,"")</f>
        <v/>
      </c>
      <c r="M35" s="13" t="n">
        <f aca="false">IF(A35=0,-Capitalization!G$4,IF(A35&lt;=Inputs!$B$21,0,G35))</f>
        <v>43.84172006</v>
      </c>
    </row>
    <row r="36" customFormat="false" ht="15" hidden="false" customHeight="false" outlineLevel="0" collapsed="false">
      <c r="A36" s="4" t="n">
        <v>31</v>
      </c>
      <c r="B36" s="4" t="str">
        <f aca="false">IF(A36=0,"Equity",IF(A36&lt;=Inputs!$B$21,"Construction",IF(A36&lt;=Inputs!$B$21+Inputs!$B$5,"Queue wait",IF(A36&lt;=Inputs!$B$21+Configurations!$D$15,"Grid ops","—"))))</f>
        <v>Grid ops</v>
      </c>
      <c r="C36" s="4" t="n">
        <f aca="false">IF(A36&lt;=Inputs!$B$21,"",A36-Inputs!$B$21-1)</f>
        <v>28</v>
      </c>
      <c r="D36" s="14" t="n">
        <f aca="false">IF(OR(A36&lt;=Inputs!$B$21,A36&gt;Inputs!$B$21+Configurations!$D$15),0,Configurations!$D$4*Configurations!$D$5*8760*(1-Configurations!$D$6)^C36*Configurations!$D$7*(1-Configurations!$D$8))</f>
        <v>730255.5</v>
      </c>
      <c r="E36" s="13" t="n">
        <f aca="false">IF(OR(A36&lt;=Inputs!$B$21,A36&gt;Inputs!$B$21+Configurations!$D$15),0,IF(A36&lt;=Inputs!$B$21+Inputs!$B$5,D36*(1-Inputs!$B$10)*Inputs!$B$19/1000000,D36*Inputs!$B$18/1000000))</f>
        <v>52.578396</v>
      </c>
      <c r="F36" s="13" t="n">
        <f aca="false">IF(OR(A36&lt;=Inputs!$B$21,A36&gt;Inputs!$B$21+Configurations!$D$15),0,Configurations!$D$12+Configurations!$D$13+Configurations!$D$14+Inputs!$B$20*E36)</f>
        <v>8.73667594</v>
      </c>
      <c r="G36" s="13" t="n">
        <f aca="false">E36-F36</f>
        <v>43.84172006</v>
      </c>
      <c r="H36" s="21" t="n">
        <f aca="false">IF(AND(A36&gt;Inputs!$B$21,A36&lt;=Inputs!$B$21+Inputs!$B$12),Capitalization!G$12,0)</f>
        <v>0</v>
      </c>
      <c r="I36" s="13" t="n">
        <f aca="false">G36-H36</f>
        <v>43.84172006</v>
      </c>
      <c r="J36" s="22" t="n">
        <f aca="false">IF(A36&lt;=Inputs!$B$21,"",IF(AND(A36&lt;=Inputs!$B$22,Capitalization!G$18&gt;0),Inputs!$B$25,Inputs!$B$26))</f>
        <v>0.975</v>
      </c>
      <c r="K36" s="13" t="n">
        <f aca="false">IF(A36=0,-Capitalization!G$19,IF(A36&lt;=Inputs!$B$21,0,I36*J36-IF(AND(A36=Inputs!$B$22,Capitalization!G$18&gt;0),Inputs!$B$23,0)))</f>
        <v>42.7456770585</v>
      </c>
      <c r="L36" s="23" t="str">
        <f aca="false">IF(H36&gt;0,G36/H36,"")</f>
        <v/>
      </c>
      <c r="M36" s="13" t="n">
        <f aca="false">IF(A36=0,-Capitalization!G$4,IF(A36&lt;=Inputs!$B$21,0,G36))</f>
        <v>43.84172006</v>
      </c>
    </row>
    <row r="37" customFormat="false" ht="15" hidden="false" customHeight="false" outlineLevel="0" collapsed="false">
      <c r="A37" s="4" t="n">
        <v>32</v>
      </c>
      <c r="B37" s="4" t="str">
        <f aca="false">IF(A37=0,"Equity",IF(A37&lt;=Inputs!$B$21,"Construction",IF(A37&lt;=Inputs!$B$21+Inputs!$B$5,"Queue wait",IF(A37&lt;=Inputs!$B$21+Configurations!$D$15,"Grid ops","—"))))</f>
        <v>Grid ops</v>
      </c>
      <c r="C37" s="4" t="n">
        <f aca="false">IF(A37&lt;=Inputs!$B$21,"",A37-Inputs!$B$21-1)</f>
        <v>29</v>
      </c>
      <c r="D37" s="14" t="n">
        <f aca="false">IF(OR(A37&lt;=Inputs!$B$21,A37&gt;Inputs!$B$21+Configurations!$D$15),0,Configurations!$D$4*Configurations!$D$5*8760*(1-Configurations!$D$6)^C37*Configurations!$D$7*(1-Configurations!$D$8))</f>
        <v>730255.5</v>
      </c>
      <c r="E37" s="13" t="n">
        <f aca="false">IF(OR(A37&lt;=Inputs!$B$21,A37&gt;Inputs!$B$21+Configurations!$D$15),0,IF(A37&lt;=Inputs!$B$21+Inputs!$B$5,D37*(1-Inputs!$B$10)*Inputs!$B$19/1000000,D37*Inputs!$B$18/1000000))</f>
        <v>52.578396</v>
      </c>
      <c r="F37" s="13" t="n">
        <f aca="false">IF(OR(A37&lt;=Inputs!$B$21,A37&gt;Inputs!$B$21+Configurations!$D$15),0,Configurations!$D$12+Configurations!$D$13+Configurations!$D$14+Inputs!$B$20*E37)</f>
        <v>8.73667594</v>
      </c>
      <c r="G37" s="13" t="n">
        <f aca="false">E37-F37</f>
        <v>43.84172006</v>
      </c>
      <c r="H37" s="21" t="n">
        <f aca="false">IF(AND(A37&gt;Inputs!$B$21,A37&lt;=Inputs!$B$21+Inputs!$B$12),Capitalization!G$12,0)</f>
        <v>0</v>
      </c>
      <c r="I37" s="13" t="n">
        <f aca="false">G37-H37</f>
        <v>43.84172006</v>
      </c>
      <c r="J37" s="22" t="n">
        <f aca="false">IF(A37&lt;=Inputs!$B$21,"",IF(AND(A37&lt;=Inputs!$B$22,Capitalization!G$18&gt;0),Inputs!$B$25,Inputs!$B$26))</f>
        <v>0.975</v>
      </c>
      <c r="K37" s="13" t="n">
        <f aca="false">IF(A37=0,-Capitalization!G$19,IF(A37&lt;=Inputs!$B$21,0,I37*J37-IF(AND(A37=Inputs!$B$22,Capitalization!G$18&gt;0),Inputs!$B$23,0)))</f>
        <v>42.7456770585</v>
      </c>
      <c r="L37" s="23" t="str">
        <f aca="false">IF(H37&gt;0,G37/H37,"")</f>
        <v/>
      </c>
      <c r="M37" s="13" t="n">
        <f aca="false">IF(A37=0,-Capitalization!G$4,IF(A37&lt;=Inputs!$B$21,0,G37))</f>
        <v>43.84172006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3"/>
      <c r="B3" s="3" t="s">
        <v>47</v>
      </c>
      <c r="C3" s="3" t="s">
        <v>48</v>
      </c>
      <c r="D3" s="3" t="s">
        <v>49</v>
      </c>
    </row>
    <row r="4" customFormat="false" ht="15" hidden="false" customHeight="false" outlineLevel="0" collapsed="false">
      <c r="A4" s="4" t="s">
        <v>132</v>
      </c>
      <c r="B4" s="24" t="n">
        <f aca="false">SolarBase!B2</f>
        <v>0.0407137053560902</v>
      </c>
      <c r="C4" s="24" t="n">
        <f aca="false">WindBase!B2</f>
        <v>0.0764716823708474</v>
      </c>
      <c r="D4" s="24" t="n">
        <f aca="false">GeoBase!B2</f>
        <v>0.116138196367857</v>
      </c>
    </row>
    <row r="5" customFormat="false" ht="15" hidden="false" customHeight="false" outlineLevel="0" collapsed="false">
      <c r="A5" s="4" t="s">
        <v>133</v>
      </c>
      <c r="B5" s="24" t="n">
        <f aca="false">SolarColoc!B2</f>
        <v>0.0440705771664944</v>
      </c>
      <c r="C5" s="24" t="n">
        <f aca="false">WindColoc!B2</f>
        <v>0.10059926567789</v>
      </c>
      <c r="D5" s="24" t="n">
        <f aca="false">GeoColoc!B2</f>
        <v>0.188248950280833</v>
      </c>
    </row>
    <row r="6" customFormat="false" ht="15" hidden="false" customHeight="false" outlineLevel="0" collapsed="false">
      <c r="A6" s="4" t="s">
        <v>134</v>
      </c>
      <c r="B6" s="25" t="n">
        <f aca="false">(SolarColoc!B2-SolarBase!B2)*100</f>
        <v>0.335687181040423</v>
      </c>
      <c r="C6" s="25" t="n">
        <f aca="false">(WindColoc!B2-WindBase!B2)*100</f>
        <v>2.41275833070424</v>
      </c>
      <c r="D6" s="25" t="n">
        <f aca="false">(GeoColoc!B2-GeoBase!B2)*100</f>
        <v>7.21107539129759</v>
      </c>
    </row>
    <row r="7" customFormat="false" ht="15" hidden="false" customHeight="false" outlineLevel="0" collapsed="false">
      <c r="A7" s="4" t="s">
        <v>135</v>
      </c>
      <c r="B7" s="24" t="n">
        <f aca="false">SolarBase!D2</f>
        <v>0.00912386656501047</v>
      </c>
      <c r="C7" s="24" t="n">
        <f aca="false">WindBase!D2</f>
        <v>0.0203146798209051</v>
      </c>
      <c r="D7" s="24" t="n">
        <f aca="false">GeoBase!D2</f>
        <v>0.0385638602185806</v>
      </c>
    </row>
    <row r="8" customFormat="false" ht="15" hidden="false" customHeight="false" outlineLevel="0" collapsed="false">
      <c r="A8" s="4" t="s">
        <v>136</v>
      </c>
      <c r="B8" s="24" t="n">
        <f aca="false">SolarColoc!D2</f>
        <v>0.0128219566109675</v>
      </c>
      <c r="C8" s="24" t="n">
        <f aca="false">WindColoc!D2</f>
        <v>0.0263299539787009</v>
      </c>
      <c r="D8" s="24" t="n">
        <f aca="false">GeoColoc!D2</f>
        <v>0.0502373782968184</v>
      </c>
    </row>
    <row r="9" customFormat="false" ht="15" hidden="false" customHeight="false" outlineLevel="0" collapsed="false">
      <c r="A9" s="4" t="s">
        <v>137</v>
      </c>
      <c r="B9" s="21" t="n">
        <f aca="false">SolarBase!F2</f>
        <v>-15.3965796237227</v>
      </c>
      <c r="C9" s="21" t="n">
        <f aca="false">WindBase!F2</f>
        <v>-2.47011975024881</v>
      </c>
      <c r="D9" s="21" t="n">
        <f aca="false">GeoBase!F2</f>
        <v>57.6358345257354</v>
      </c>
    </row>
    <row r="10" customFormat="false" ht="15" hidden="false" customHeight="false" outlineLevel="0" collapsed="false">
      <c r="A10" s="4" t="s">
        <v>138</v>
      </c>
      <c r="B10" s="21" t="n">
        <f aca="false">SolarColoc!F2</f>
        <v>-15.3972495337083</v>
      </c>
      <c r="C10" s="21" t="n">
        <f aca="false">WindColoc!F2</f>
        <v>11.3690066493199</v>
      </c>
      <c r="D10" s="21" t="n">
        <f aca="false">GeoColoc!F2</f>
        <v>117.397883925032</v>
      </c>
    </row>
    <row r="12" customFormat="false" ht="15" hidden="false" customHeight="false" outlineLevel="0" collapsed="false">
      <c r="A12" s="3" t="s">
        <v>139</v>
      </c>
    </row>
    <row r="13" customFormat="false" ht="15" hidden="false" customHeight="false" outlineLevel="0" collapsed="false">
      <c r="A13" s="4" t="s">
        <v>140</v>
      </c>
      <c r="B13" s="26" t="n">
        <f aca="false">SUMIFS(SolarColoc!E5:E37,SolarColoc!A5:A37,"&gt;"&amp;Inputs!$B$21,SolarColoc!A5:A37,"&lt;="&amp;Inputs!$B$21+Inputs!$B$5)-SUMIFS(SolarBase!E5:E37,SolarBase!A5:A37,"&gt;"&amp;Inputs!$B$21,SolarBase!A5:A37,"&lt;="&amp;Inputs!$B$21+Inputs!$B$5)</f>
        <v>54.2819410089169</v>
      </c>
      <c r="C13" s="26" t="n">
        <f aca="false">SUMIFS(WindColoc!E5:E37,WindColoc!A5:A37,"&gt;"&amp;Inputs!$B$21,WindColoc!A5:A37,"&lt;="&amp;Inputs!$B$21+Inputs!$B$5)-SUMIFS(WindBase!E5:E37,WindBase!A5:A37,"&gt;"&amp;Inputs!$B$21,WindBase!A5:A37,"&lt;="&amp;Inputs!$B$21+Inputs!$B$5)</f>
        <v>101.972389100789</v>
      </c>
      <c r="D13" s="26" t="n">
        <f aca="false">SUMIFS(GeoColoc!E5:E37,GeoColoc!A5:A37,"&gt;"&amp;Inputs!$B$21,GeoColoc!A5:A37,"&lt;="&amp;Inputs!$B$21+Inputs!$B$5)-SUMIFS(GeoBase!E5:E37,GeoBase!A5:A37,"&gt;"&amp;Inputs!$B$21,GeoBase!A5:A37,"&lt;="&amp;Inputs!$B$21+Inputs!$B$5)</f>
        <v>173.5087068</v>
      </c>
    </row>
    <row r="14" customFormat="false" ht="15" hidden="false" customHeight="false" outlineLevel="0" collapsed="false">
      <c r="A14" s="4" t="s">
        <v>141</v>
      </c>
      <c r="B14" s="13" t="n">
        <f aca="false">B13/Inputs!$B$5</f>
        <v>13.5704852522292</v>
      </c>
      <c r="C14" s="13" t="n">
        <f aca="false">C13/Inputs!$B$5</f>
        <v>25.4930972751972</v>
      </c>
      <c r="D14" s="13" t="n">
        <f aca="false">D13/Inputs!$B$5</f>
        <v>43.3771767</v>
      </c>
    </row>
    <row r="15" customFormat="false" ht="15" hidden="false" customHeight="false" outlineLevel="0" collapsed="false">
      <c r="A15" s="4" t="s">
        <v>142</v>
      </c>
      <c r="B15" s="13" t="n">
        <f aca="false">SUMIFS(SolarColoc!G5:G37,SolarColoc!A5:A37,"&gt;"&amp;Inputs!$B$21,SolarColoc!A5:A37,"&lt;="&amp;Inputs!$B$21+Inputs!$B$5)-SUMIFS(SolarBase!G5:G37,SolarBase!A5:A37,"&gt;"&amp;Inputs!$B$21,SolarBase!A5:A37,"&lt;="&amp;Inputs!$B$21+Inputs!$B$5)</f>
        <v>38.4677118937831</v>
      </c>
      <c r="C15" s="13" t="n">
        <f aca="false">SUMIFS(WindColoc!G5:G37,WindColoc!A5:A37,"&gt;"&amp;Inputs!$B$21,WindColoc!A5:A37,"&lt;="&amp;Inputs!$B$21+Inputs!$B$5)-SUMIFS(WindBase!G5:G37,WindBase!A5:A37,"&gt;"&amp;Inputs!$B$21,WindBase!A5:A37,"&lt;="&amp;Inputs!$B$21+Inputs!$B$5)</f>
        <v>70.4428032642771</v>
      </c>
      <c r="D15" s="13" t="n">
        <f aca="false">SUMIFS(GeoColoc!G5:G37,GeoColoc!A5:A37,"&gt;"&amp;Inputs!$B$21,GeoColoc!A5:A37,"&lt;="&amp;Inputs!$B$21+Inputs!$B$5)-SUMIFS(GeoBase!G5:G37,GeoBase!A5:A37,"&gt;"&amp;Inputs!$B$21,GeoBase!A5:A37,"&lt;="&amp;Inputs!$B$21+Inputs!$B$5)</f>
        <v>149.406076198</v>
      </c>
    </row>
    <row r="16" customFormat="false" ht="15" hidden="false" customHeight="false" outlineLevel="0" collapsed="false">
      <c r="A16" s="4" t="s">
        <v>143</v>
      </c>
      <c r="B16" s="13" t="n">
        <f aca="false">SUMIFS(SolarColoc!K5:K37,SolarColoc!A5:A37,"&gt;"&amp;Inputs!$B$21,SolarColoc!A5:A37,"&lt;="&amp;Inputs!$B$21+Inputs!$B$5)-SUMIFS(SolarBase!K5:K37,SolarBase!A5:A37,"&gt;"&amp;Inputs!$B$21,SolarBase!A5:A37,"&lt;="&amp;Inputs!$B$21+Inputs!$B$5)</f>
        <v>28.4829538812038</v>
      </c>
      <c r="C16" s="13" t="n">
        <f aca="false">SUMIFS(WindColoc!K5:K37,WindColoc!A5:A37,"&gt;"&amp;Inputs!$B$21,WindColoc!A5:A37,"&lt;="&amp;Inputs!$B$21+Inputs!$B$5)-SUMIFS(WindBase!K5:K37,WindBase!A5:A37,"&gt;"&amp;Inputs!$B$21,WindBase!A5:A37,"&lt;="&amp;Inputs!$B$21+Inputs!$B$5)</f>
        <v>46.9903712564256</v>
      </c>
      <c r="D16" s="13" t="n">
        <f aca="false">SUMIFS(GeoColoc!K5:K37,GeoColoc!A5:A37,"&gt;"&amp;Inputs!$B$21,GeoColoc!A5:A37,"&lt;="&amp;Inputs!$B$21+Inputs!$B$5)-SUMIFS(GeoBase!K5:K37,GeoBase!A5:A37,"&gt;"&amp;Inputs!$B$21,GeoBase!A5:A37,"&lt;="&amp;Inputs!$B$21+Inputs!$B$5)</f>
        <v>103.037859319554</v>
      </c>
    </row>
    <row r="17" customFormat="false" ht="15" hidden="false" customHeight="false" outlineLevel="0" collapsed="false">
      <c r="A17" s="4" t="s">
        <v>144</v>
      </c>
      <c r="B17" s="13" t="n">
        <f aca="false">Configurations!$B$11</f>
        <v>12</v>
      </c>
      <c r="C17" s="13" t="n">
        <f aca="false">Configurations!$C$11</f>
        <v>18</v>
      </c>
      <c r="D17" s="13" t="n">
        <f aca="false">Configurations!$D$11</f>
        <v>12</v>
      </c>
    </row>
    <row r="18" customFormat="false" ht="15" hidden="false" customHeight="false" outlineLevel="0" collapsed="false">
      <c r="A18" s="4" t="s">
        <v>145</v>
      </c>
      <c r="B18" s="13" t="n">
        <f aca="false">Capitalization!C19-Capitalization!B19</f>
        <v>18.6391013805157</v>
      </c>
      <c r="C18" s="13" t="n">
        <f aca="false">Capitalization!E19-Capitalization!D19</f>
        <v>8.09999999999999</v>
      </c>
      <c r="D18" s="13" t="n">
        <f aca="false">Capitalization!G19-Capitalization!F19</f>
        <v>5.39999999999998</v>
      </c>
    </row>
    <row r="19" customFormat="false" ht="15" hidden="false" customHeight="false" outlineLevel="0" collapsed="false">
      <c r="A19" s="4" t="s">
        <v>146</v>
      </c>
      <c r="B19" s="13" t="n">
        <f aca="false">SolarColoc!F2-SolarBase!F2</f>
        <v>-0.000669909985523631</v>
      </c>
      <c r="C19" s="13" t="n">
        <f aca="false">WindColoc!F2-WindBase!F2</f>
        <v>13.8391263995687</v>
      </c>
      <c r="D19" s="13" t="n">
        <f aca="false">GeoColoc!F2-GeoBase!F2</f>
        <v>59.7620493992967</v>
      </c>
    </row>
    <row r="21" customFormat="false" ht="15" hidden="false" customHeight="false" outlineLevel="0" collapsed="false">
      <c r="A21" s="2" t="s">
        <v>147</v>
      </c>
    </row>
    <row r="22" customFormat="false" ht="15" hidden="false" customHeight="false" outlineLevel="0" collapsed="false">
      <c r="A22" s="2" t="s">
        <v>148</v>
      </c>
    </row>
    <row r="24" customFormat="false" ht="15" hidden="false" customHeight="false" outlineLevel="0" collapsed="false">
      <c r="A24" s="15" t="s">
        <v>149</v>
      </c>
    </row>
    <row r="25" customFormat="false" ht="15" hidden="false" customHeight="false" outlineLevel="0" collapsed="false">
      <c r="A25" s="3" t="s">
        <v>150</v>
      </c>
      <c r="B25" s="3" t="s">
        <v>151</v>
      </c>
      <c r="C25" s="3" t="s">
        <v>152</v>
      </c>
      <c r="D25" s="3" t="s">
        <v>153</v>
      </c>
      <c r="E25" s="3" t="s">
        <v>154</v>
      </c>
    </row>
    <row r="26" customFormat="false" ht="15" hidden="false" customHeight="false" outlineLevel="0" collapsed="false">
      <c r="A26" s="22" t="n">
        <v>0.3</v>
      </c>
      <c r="B26" s="14" t="n">
        <v>2</v>
      </c>
      <c r="C26" s="22" t="n">
        <v>0.0698</v>
      </c>
      <c r="D26" s="22" t="n">
        <v>0.0493</v>
      </c>
      <c r="E26" s="27" t="n">
        <v>-2.05</v>
      </c>
    </row>
    <row r="27" customFormat="false" ht="15" hidden="false" customHeight="false" outlineLevel="0" collapsed="false">
      <c r="A27" s="22" t="n">
        <v>0.3</v>
      </c>
      <c r="B27" s="14" t="n">
        <v>4</v>
      </c>
      <c r="C27" s="22" t="n">
        <v>0.0407</v>
      </c>
      <c r="D27" s="22" t="n">
        <v>0.0441</v>
      </c>
      <c r="E27" s="27" t="n">
        <v>0.34</v>
      </c>
    </row>
    <row r="28" customFormat="false" ht="15" hidden="false" customHeight="false" outlineLevel="0" collapsed="false">
      <c r="A28" s="22" t="n">
        <v>0.3</v>
      </c>
      <c r="B28" s="14" t="n">
        <v>6</v>
      </c>
      <c r="C28" s="22" t="n">
        <v>0.014</v>
      </c>
      <c r="D28" s="22" t="n">
        <v>0.0377</v>
      </c>
      <c r="E28" s="27" t="n">
        <v>2.38</v>
      </c>
    </row>
    <row r="29" customFormat="false" ht="15" hidden="false" customHeight="false" outlineLevel="0" collapsed="false">
      <c r="A29" s="22" t="n">
        <v>0.3</v>
      </c>
      <c r="B29" s="14" t="n">
        <v>8</v>
      </c>
      <c r="C29" s="22" t="n">
        <v>-0.0061</v>
      </c>
      <c r="D29" s="22" t="n">
        <v>0.0321</v>
      </c>
      <c r="E29" s="27" t="n">
        <v>3.82</v>
      </c>
    </row>
    <row r="30" customFormat="false" ht="15" hidden="false" customHeight="false" outlineLevel="0" collapsed="false">
      <c r="A30" s="22" t="n">
        <v>0</v>
      </c>
      <c r="B30" s="14" t="n">
        <v>2</v>
      </c>
      <c r="C30" s="22" t="n">
        <v>-0.0084</v>
      </c>
      <c r="D30" s="22" t="n">
        <v>-0.0114</v>
      </c>
      <c r="E30" s="27" t="n">
        <v>-0.31</v>
      </c>
    </row>
    <row r="31" customFormat="false" ht="15" hidden="false" customHeight="false" outlineLevel="0" collapsed="false">
      <c r="A31" s="22" t="n">
        <v>0</v>
      </c>
      <c r="B31" s="14" t="n">
        <v>4</v>
      </c>
      <c r="C31" s="22" t="n">
        <v>-0.0201</v>
      </c>
      <c r="D31" s="22" t="n">
        <v>-0.0141</v>
      </c>
      <c r="E31" s="27" t="n">
        <v>0.6</v>
      </c>
    </row>
    <row r="32" customFormat="false" ht="15" hidden="false" customHeight="false" outlineLevel="0" collapsed="false">
      <c r="A32" s="22" t="n">
        <v>0</v>
      </c>
      <c r="B32" s="14" t="n">
        <v>6</v>
      </c>
      <c r="C32" s="22" t="n">
        <v>-0.0305</v>
      </c>
      <c r="D32" s="22" t="n">
        <v>-0.0167</v>
      </c>
      <c r="E32" s="27" t="n">
        <v>1.38</v>
      </c>
    </row>
    <row r="33" customFormat="false" ht="15" hidden="false" customHeight="false" outlineLevel="0" collapsed="false">
      <c r="A33" s="22" t="n">
        <v>0</v>
      </c>
      <c r="B33" s="14" t="n">
        <v>8</v>
      </c>
      <c r="C33" s="22" t="n">
        <v>-0.0405</v>
      </c>
      <c r="D33" s="22" t="n">
        <v>-0.0193</v>
      </c>
      <c r="E33" s="27" t="n">
        <v>2.11</v>
      </c>
    </row>
    <row r="35" customFormat="false" ht="15" hidden="false" customHeight="false" outlineLevel="0" collapsed="false">
      <c r="A35" s="15" t="s">
        <v>155</v>
      </c>
    </row>
    <row r="36" customFormat="false" ht="15" hidden="false" customHeight="false" outlineLevel="0" collapsed="false">
      <c r="A36" s="3" t="s">
        <v>150</v>
      </c>
      <c r="B36" s="3" t="s">
        <v>151</v>
      </c>
      <c r="C36" s="3" t="s">
        <v>152</v>
      </c>
      <c r="D36" s="3" t="s">
        <v>153</v>
      </c>
      <c r="E36" s="3" t="s">
        <v>154</v>
      </c>
    </row>
    <row r="37" customFormat="false" ht="15" hidden="false" customHeight="false" outlineLevel="0" collapsed="false">
      <c r="A37" s="22" t="n">
        <v>0.3</v>
      </c>
      <c r="B37" s="14" t="n">
        <v>2</v>
      </c>
      <c r="C37" s="22" t="n">
        <v>0.1133</v>
      </c>
      <c r="D37" s="22" t="n">
        <v>0.1107</v>
      </c>
      <c r="E37" s="27" t="n">
        <v>-0.26</v>
      </c>
    </row>
    <row r="38" customFormat="false" ht="15" hidden="false" customHeight="false" outlineLevel="0" collapsed="false">
      <c r="A38" s="22" t="n">
        <v>0.3</v>
      </c>
      <c r="B38" s="14" t="n">
        <v>4</v>
      </c>
      <c r="C38" s="22" t="n">
        <v>0.0765</v>
      </c>
      <c r="D38" s="22" t="n">
        <v>0.1006</v>
      </c>
      <c r="E38" s="27" t="n">
        <v>2.41</v>
      </c>
    </row>
    <row r="39" customFormat="false" ht="15" hidden="false" customHeight="false" outlineLevel="0" collapsed="false">
      <c r="A39" s="22" t="n">
        <v>0.3</v>
      </c>
      <c r="B39" s="14" t="n">
        <v>6</v>
      </c>
      <c r="C39" s="22" t="n">
        <v>0.0443</v>
      </c>
      <c r="D39" s="22" t="n">
        <v>0.0898</v>
      </c>
      <c r="E39" s="27" t="n">
        <v>4.55</v>
      </c>
    </row>
    <row r="40" customFormat="false" ht="15" hidden="false" customHeight="false" outlineLevel="0" collapsed="false">
      <c r="A40" s="22" t="n">
        <v>0.3</v>
      </c>
      <c r="B40" s="14" t="n">
        <v>8</v>
      </c>
      <c r="C40" s="22" t="n">
        <v>0.021</v>
      </c>
      <c r="D40" s="22" t="n">
        <v>0.0811</v>
      </c>
      <c r="E40" s="27" t="n">
        <v>6.01</v>
      </c>
    </row>
    <row r="41" customFormat="false" ht="15" hidden="false" customHeight="false" outlineLevel="0" collapsed="false">
      <c r="A41" s="22" t="n">
        <v>0</v>
      </c>
      <c r="B41" s="14" t="n">
        <v>2</v>
      </c>
      <c r="C41" s="22" t="n">
        <v>0.0149</v>
      </c>
      <c r="D41" s="22" t="n">
        <v>0.0116</v>
      </c>
      <c r="E41" s="27" t="n">
        <v>-0.33</v>
      </c>
    </row>
    <row r="42" customFormat="false" ht="15" hidden="false" customHeight="false" outlineLevel="0" collapsed="false">
      <c r="A42" s="22" t="n">
        <v>0</v>
      </c>
      <c r="B42" s="14" t="n">
        <v>4</v>
      </c>
      <c r="C42" s="22" t="n">
        <v>0.0015</v>
      </c>
      <c r="D42" s="22" t="n">
        <v>0.0082</v>
      </c>
      <c r="E42" s="27" t="n">
        <v>0.68</v>
      </c>
    </row>
    <row r="43" customFormat="false" ht="15" hidden="false" customHeight="false" outlineLevel="0" collapsed="false">
      <c r="A43" s="22" t="n">
        <v>0</v>
      </c>
      <c r="B43" s="14" t="n">
        <v>6</v>
      </c>
      <c r="C43" s="22" t="n">
        <v>-0.0102</v>
      </c>
      <c r="D43" s="22" t="n">
        <v>0.005</v>
      </c>
      <c r="E43" s="27" t="n">
        <v>1.52</v>
      </c>
    </row>
    <row r="44" customFormat="false" ht="15" hidden="false" customHeight="false" outlineLevel="0" collapsed="false">
      <c r="A44" s="22" t="n">
        <v>0</v>
      </c>
      <c r="B44" s="14" t="n">
        <v>8</v>
      </c>
      <c r="C44" s="22" t="n">
        <v>-0.0209</v>
      </c>
      <c r="D44" s="22" t="n">
        <v>0.0019</v>
      </c>
      <c r="E44" s="27" t="n">
        <v>2.28</v>
      </c>
    </row>
    <row r="46" customFormat="false" ht="15" hidden="false" customHeight="false" outlineLevel="0" collapsed="false">
      <c r="A46" s="15" t="s">
        <v>156</v>
      </c>
    </row>
    <row r="47" customFormat="false" ht="15" hidden="false" customHeight="false" outlineLevel="0" collapsed="false">
      <c r="A47" s="3" t="s">
        <v>150</v>
      </c>
      <c r="B47" s="3" t="s">
        <v>151</v>
      </c>
      <c r="C47" s="3" t="s">
        <v>152</v>
      </c>
      <c r="D47" s="3" t="s">
        <v>153</v>
      </c>
      <c r="E47" s="3" t="s">
        <v>154</v>
      </c>
    </row>
    <row r="48" customFormat="false" ht="15" hidden="false" customHeight="false" outlineLevel="0" collapsed="false">
      <c r="A48" s="22" t="n">
        <v>0.3</v>
      </c>
      <c r="B48" s="14" t="n">
        <v>2</v>
      </c>
      <c r="C48" s="22" t="n">
        <v>0.1572</v>
      </c>
      <c r="D48" s="22" t="n">
        <v>0.2006</v>
      </c>
      <c r="E48" s="27" t="n">
        <v>4.35</v>
      </c>
    </row>
    <row r="49" customFormat="false" ht="15" hidden="false" customHeight="false" outlineLevel="0" collapsed="false">
      <c r="A49" s="22" t="n">
        <v>0.3</v>
      </c>
      <c r="B49" s="14" t="n">
        <v>4</v>
      </c>
      <c r="C49" s="22" t="n">
        <v>0.1161</v>
      </c>
      <c r="D49" s="22" t="n">
        <v>0.1882</v>
      </c>
      <c r="E49" s="27" t="n">
        <v>7.21</v>
      </c>
    </row>
    <row r="50" customFormat="false" ht="15" hidden="false" customHeight="false" outlineLevel="0" collapsed="false">
      <c r="A50" s="22" t="n">
        <v>0.3</v>
      </c>
      <c r="B50" s="14" t="n">
        <v>6</v>
      </c>
      <c r="C50" s="22" t="n">
        <v>0.0832</v>
      </c>
      <c r="D50" s="22" t="n">
        <v>0.1764</v>
      </c>
      <c r="E50" s="27" t="n">
        <v>9.32</v>
      </c>
    </row>
    <row r="51" customFormat="false" ht="15" hidden="false" customHeight="false" outlineLevel="0" collapsed="false">
      <c r="A51" s="22" t="n">
        <v>0.3</v>
      </c>
      <c r="B51" s="14" t="n">
        <v>8</v>
      </c>
      <c r="C51" s="22" t="n">
        <v>0.0612</v>
      </c>
      <c r="D51" s="22" t="n">
        <v>0.1679</v>
      </c>
      <c r="E51" s="27" t="n">
        <v>10.67</v>
      </c>
    </row>
    <row r="52" customFormat="false" ht="15" hidden="false" customHeight="false" outlineLevel="0" collapsed="false">
      <c r="A52" s="22" t="n">
        <v>0</v>
      </c>
      <c r="B52" s="14" t="n">
        <v>2</v>
      </c>
      <c r="C52" s="22" t="n">
        <v>0.0469</v>
      </c>
      <c r="D52" s="22" t="n">
        <v>0.0557</v>
      </c>
      <c r="E52" s="27" t="n">
        <v>0.87</v>
      </c>
    </row>
    <row r="53" customFormat="false" ht="15" hidden="false" customHeight="false" outlineLevel="0" collapsed="false">
      <c r="A53" s="22" t="n">
        <v>0</v>
      </c>
      <c r="B53" s="14" t="n">
        <v>4</v>
      </c>
      <c r="C53" s="22" t="n">
        <v>0.0342</v>
      </c>
      <c r="D53" s="22" t="n">
        <v>0.0526</v>
      </c>
      <c r="E53" s="27" t="n">
        <v>1.84</v>
      </c>
    </row>
    <row r="54" customFormat="false" ht="15" hidden="false" customHeight="false" outlineLevel="0" collapsed="false">
      <c r="A54" s="22" t="n">
        <v>0</v>
      </c>
      <c r="B54" s="14" t="n">
        <v>6</v>
      </c>
      <c r="C54" s="22" t="n">
        <v>0.0238</v>
      </c>
      <c r="D54" s="22" t="n">
        <v>0.05</v>
      </c>
      <c r="E54" s="27" t="n">
        <v>2.61</v>
      </c>
    </row>
    <row r="55" customFormat="false" ht="15" hidden="false" customHeight="false" outlineLevel="0" collapsed="false">
      <c r="A55" s="22" t="n">
        <v>0</v>
      </c>
      <c r="B55" s="14" t="n">
        <v>8</v>
      </c>
      <c r="C55" s="22" t="n">
        <v>0.0149</v>
      </c>
      <c r="D55" s="22" t="n">
        <v>0.0476</v>
      </c>
      <c r="E55" s="27" t="n">
        <v>3.27</v>
      </c>
    </row>
    <row r="57" customFormat="false" ht="15" hidden="false" customHeight="false" outlineLevel="0" collapsed="false">
      <c r="A57" s="2" t="s">
        <v>157</v>
      </c>
    </row>
    <row r="58" customFormat="false" ht="15" hidden="false" customHeight="false" outlineLevel="0" collapsed="false">
      <c r="A58" s="2" t="s">
        <v>158</v>
      </c>
    </row>
    <row r="59" customFormat="false" ht="15" hidden="false" customHeight="false" outlineLevel="0" collapsed="false">
      <c r="A59" s="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2026-07-31T12:53:20Z</dcterms:created>
  <dc:creator>openpyxl</dc:creator>
  <dc:description/>
  <dc:language>en-US</dc:language>
  <cp:lastModifiedBy/>
  <dcterms:modified xsi:type="dcterms:W3CDTF">2026-07-31T12:53:20Z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